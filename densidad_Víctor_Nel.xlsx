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worksheets/sheet6.xml" ContentType="application/vnd.openxmlformats-officedocument.spreadsheetml.worksheet+xml"/>
  <Override PartName="/xl/chartsheets/sheet3.xml" ContentType="application/vnd.openxmlformats-officedocument.spreadsheetml.chartsheet+xml"/>
  <Override PartName="/xl/worksheets/sheet7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Victor Trespalacios\Desktop\"/>
    </mc:Choice>
  </mc:AlternateContent>
  <xr:revisionPtr revIDLastSave="0" documentId="13_ncr:1_{72864D55-2C4E-4996-8C2E-CD05AFB44B9F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Hoja1" sheetId="1" r:id="rId1"/>
    <sheet name="Hoja2" sheetId="2" r:id="rId2"/>
    <sheet name="Hoja3" sheetId="4" r:id="rId3"/>
    <sheet name="Gráfico1" sheetId="3" r:id="rId4"/>
    <sheet name="Hoja4" sheetId="5" r:id="rId5"/>
    <sheet name="Hoja5" sheetId="7" r:id="rId6"/>
    <sheet name="Gráfico2" sheetId="6" r:id="rId7"/>
    <sheet name="Hoja6" sheetId="9" r:id="rId8"/>
    <sheet name="Gráfico 3" sheetId="8" r:id="rId9"/>
    <sheet name="Hoja7" sheetId="14" r:id="rId10"/>
    <sheet name="Gráfico4" sheetId="10" r:id="rId11"/>
    <sheet name="Gráfico5" sheetId="11" r:id="rId12"/>
    <sheet name="Gráfico6" sheetId="12" r:id="rId13"/>
    <sheet name="Gráfico7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lfP+fk8FMAXPjEOItl//G6PBgyznjrUa2EADtVUBl1M="/>
    </ext>
  </extLst>
</workbook>
</file>

<file path=xl/calcChain.xml><?xml version="1.0" encoding="utf-8"?>
<calcChain xmlns="http://schemas.openxmlformats.org/spreadsheetml/2006/main">
  <c r="D64" i="14" l="1"/>
  <c r="H63" i="14"/>
  <c r="G63" i="14"/>
  <c r="H62" i="14"/>
  <c r="G62" i="14"/>
  <c r="H61" i="14"/>
  <c r="G61" i="14"/>
  <c r="H60" i="14"/>
  <c r="G60" i="14"/>
  <c r="H59" i="14"/>
  <c r="G59" i="14"/>
  <c r="H58" i="14"/>
  <c r="G58" i="14"/>
  <c r="D55" i="14"/>
  <c r="H54" i="14"/>
  <c r="G54" i="14"/>
  <c r="H53" i="14"/>
  <c r="G53" i="14"/>
  <c r="H52" i="14"/>
  <c r="G52" i="14"/>
  <c r="H51" i="14"/>
  <c r="G51" i="14"/>
  <c r="H50" i="14"/>
  <c r="G50" i="14"/>
  <c r="H49" i="14"/>
  <c r="G49" i="14"/>
  <c r="D46" i="14"/>
  <c r="H45" i="14"/>
  <c r="G45" i="14"/>
  <c r="H44" i="14"/>
  <c r="G44" i="14"/>
  <c r="H43" i="14"/>
  <c r="G43" i="14"/>
  <c r="H42" i="14"/>
  <c r="G42" i="14"/>
  <c r="H41" i="14"/>
  <c r="G41" i="14"/>
  <c r="H40" i="14"/>
  <c r="G40" i="14"/>
  <c r="D37" i="14"/>
  <c r="H35" i="14"/>
  <c r="G35" i="14"/>
  <c r="H34" i="14"/>
  <c r="G34" i="14"/>
  <c r="H33" i="14"/>
  <c r="G33" i="14"/>
  <c r="H32" i="14"/>
  <c r="G32" i="14"/>
  <c r="H31" i="14"/>
  <c r="G31" i="14"/>
  <c r="D28" i="14"/>
  <c r="M25" i="14" s="1"/>
  <c r="H27" i="14"/>
  <c r="G27" i="14"/>
  <c r="H26" i="14"/>
  <c r="G26" i="14"/>
  <c r="H25" i="14"/>
  <c r="G25" i="14"/>
  <c r="H24" i="14"/>
  <c r="G24" i="14"/>
  <c r="H23" i="14"/>
  <c r="G23" i="14"/>
  <c r="H22" i="14"/>
  <c r="G22" i="14"/>
  <c r="D19" i="14"/>
  <c r="L25" i="14" s="1"/>
  <c r="H18" i="14"/>
  <c r="G18" i="14"/>
  <c r="H17" i="14"/>
  <c r="G17" i="14"/>
  <c r="H16" i="14"/>
  <c r="G16" i="14"/>
  <c r="H15" i="14"/>
  <c r="G15" i="14"/>
  <c r="H14" i="14"/>
  <c r="G14" i="14"/>
  <c r="H13" i="14"/>
  <c r="G13" i="14"/>
  <c r="D10" i="14"/>
  <c r="K25" i="14" s="1"/>
  <c r="H9" i="14"/>
  <c r="G9" i="14"/>
  <c r="H8" i="14"/>
  <c r="G8" i="14"/>
  <c r="H7" i="14"/>
  <c r="G7" i="14"/>
  <c r="H6" i="14"/>
  <c r="G6" i="14"/>
  <c r="H5" i="14"/>
  <c r="G5" i="14"/>
  <c r="H4" i="14"/>
  <c r="G4" i="14"/>
  <c r="G63" i="9"/>
  <c r="H63" i="9" s="1"/>
  <c r="I63" i="9" s="1"/>
  <c r="F63" i="9"/>
  <c r="E63" i="9"/>
  <c r="E62" i="9"/>
  <c r="G62" i="9" s="1"/>
  <c r="E61" i="9"/>
  <c r="G61" i="9" s="1"/>
  <c r="E60" i="9"/>
  <c r="G60" i="9" s="1"/>
  <c r="G59" i="9"/>
  <c r="H59" i="9" s="1"/>
  <c r="I59" i="9" s="1"/>
  <c r="E59" i="9"/>
  <c r="F59" i="9" s="1"/>
  <c r="G58" i="9"/>
  <c r="H58" i="9" s="1"/>
  <c r="I58" i="9" s="1"/>
  <c r="F58" i="9"/>
  <c r="E58" i="9"/>
  <c r="E54" i="9"/>
  <c r="F54" i="9" s="1"/>
  <c r="F53" i="9"/>
  <c r="E53" i="9"/>
  <c r="G53" i="9" s="1"/>
  <c r="H53" i="9" s="1"/>
  <c r="I53" i="9" s="1"/>
  <c r="G52" i="9"/>
  <c r="H52" i="9" s="1"/>
  <c r="I52" i="9" s="1"/>
  <c r="F52" i="9"/>
  <c r="E52" i="9"/>
  <c r="E51" i="9"/>
  <c r="G51" i="9" s="1"/>
  <c r="E50" i="9"/>
  <c r="G50" i="9" s="1"/>
  <c r="E49" i="9"/>
  <c r="G49" i="9" s="1"/>
  <c r="G45" i="9"/>
  <c r="E45" i="9"/>
  <c r="F45" i="9" s="1"/>
  <c r="G44" i="9"/>
  <c r="H44" i="9" s="1"/>
  <c r="I44" i="9" s="1"/>
  <c r="F44" i="9"/>
  <c r="E44" i="9"/>
  <c r="E43" i="9"/>
  <c r="F43" i="9" s="1"/>
  <c r="F42" i="9"/>
  <c r="E42" i="9"/>
  <c r="G42" i="9" s="1"/>
  <c r="H42" i="9" s="1"/>
  <c r="I42" i="9" s="1"/>
  <c r="G41" i="9"/>
  <c r="H41" i="9" s="1"/>
  <c r="I41" i="9" s="1"/>
  <c r="F41" i="9"/>
  <c r="E41" i="9"/>
  <c r="E40" i="9"/>
  <c r="G40" i="9" s="1"/>
  <c r="E35" i="9"/>
  <c r="G35" i="9" s="1"/>
  <c r="E34" i="9"/>
  <c r="G34" i="9" s="1"/>
  <c r="G33" i="9"/>
  <c r="E33" i="9"/>
  <c r="F33" i="9" s="1"/>
  <c r="G32" i="9"/>
  <c r="H32" i="9" s="1"/>
  <c r="I32" i="9" s="1"/>
  <c r="F32" i="9"/>
  <c r="E32" i="9"/>
  <c r="E31" i="9"/>
  <c r="F31" i="9" s="1"/>
  <c r="F27" i="9"/>
  <c r="E27" i="9"/>
  <c r="G27" i="9" s="1"/>
  <c r="H27" i="9" s="1"/>
  <c r="I27" i="9" s="1"/>
  <c r="G26" i="9"/>
  <c r="H26" i="9" s="1"/>
  <c r="I26" i="9" s="1"/>
  <c r="F26" i="9"/>
  <c r="E26" i="9"/>
  <c r="E25" i="9"/>
  <c r="G25" i="9" s="1"/>
  <c r="E24" i="9"/>
  <c r="G24" i="9" s="1"/>
  <c r="E23" i="9"/>
  <c r="G23" i="9" s="1"/>
  <c r="G22" i="9"/>
  <c r="E22" i="9"/>
  <c r="F22" i="9" s="1"/>
  <c r="G18" i="9"/>
  <c r="E18" i="9"/>
  <c r="F18" i="9" s="1"/>
  <c r="E17" i="9"/>
  <c r="F17" i="9" s="1"/>
  <c r="E16" i="9"/>
  <c r="G16" i="9" s="1"/>
  <c r="G15" i="9"/>
  <c r="H15" i="9" s="1"/>
  <c r="I15" i="9" s="1"/>
  <c r="F15" i="9"/>
  <c r="E15" i="9"/>
  <c r="E14" i="9"/>
  <c r="G14" i="9" s="1"/>
  <c r="E13" i="9"/>
  <c r="G13" i="9" s="1"/>
  <c r="E9" i="9"/>
  <c r="G9" i="9" s="1"/>
  <c r="E8" i="9"/>
  <c r="G8" i="9" s="1"/>
  <c r="G7" i="9"/>
  <c r="H7" i="9" s="1"/>
  <c r="I7" i="9" s="1"/>
  <c r="E7" i="9"/>
  <c r="F7" i="9" s="1"/>
  <c r="E6" i="9"/>
  <c r="F6" i="9" s="1"/>
  <c r="E5" i="9"/>
  <c r="G5" i="9" s="1"/>
  <c r="G4" i="9"/>
  <c r="H4" i="9" s="1"/>
  <c r="I4" i="9" s="1"/>
  <c r="F4" i="9"/>
  <c r="E4" i="9"/>
  <c r="J89" i="5"/>
  <c r="K89" i="5" s="1"/>
  <c r="I89" i="5"/>
  <c r="J88" i="5"/>
  <c r="K88" i="5" s="1"/>
  <c r="I88" i="5"/>
  <c r="I87" i="5"/>
  <c r="J87" i="5" s="1"/>
  <c r="K87" i="5" s="1"/>
  <c r="I86" i="5"/>
  <c r="J86" i="5" s="1"/>
  <c r="K86" i="5" s="1"/>
  <c r="I85" i="5"/>
  <c r="J85" i="5" s="1"/>
  <c r="K85" i="5" s="1"/>
  <c r="J84" i="5"/>
  <c r="K84" i="5" s="1"/>
  <c r="I84" i="5"/>
  <c r="I83" i="5"/>
  <c r="J83" i="5" s="1"/>
  <c r="K83" i="5" s="1"/>
  <c r="J82" i="5"/>
  <c r="K82" i="5" s="1"/>
  <c r="I82" i="5"/>
  <c r="E67" i="5"/>
  <c r="G64" i="5"/>
  <c r="F64" i="5"/>
  <c r="E64" i="5"/>
  <c r="E65" i="5" s="1"/>
  <c r="D64" i="5"/>
  <c r="D65" i="5" s="1"/>
  <c r="C64" i="5"/>
  <c r="B64" i="5"/>
  <c r="G58" i="5"/>
  <c r="F58" i="5"/>
  <c r="E58" i="5"/>
  <c r="E59" i="5" s="1"/>
  <c r="D58" i="5"/>
  <c r="D59" i="5" s="1"/>
  <c r="C58" i="5"/>
  <c r="B58" i="5"/>
  <c r="G52" i="5"/>
  <c r="F52" i="5"/>
  <c r="E52" i="5"/>
  <c r="E53" i="5" s="1"/>
  <c r="D52" i="5"/>
  <c r="D53" i="5" s="1"/>
  <c r="C52" i="5"/>
  <c r="B52" i="5"/>
  <c r="G46" i="5"/>
  <c r="F46" i="5"/>
  <c r="E46" i="5"/>
  <c r="D46" i="5"/>
  <c r="C46" i="5"/>
  <c r="B46" i="5"/>
  <c r="G40" i="5"/>
  <c r="F40" i="5"/>
  <c r="E40" i="5"/>
  <c r="D40" i="5"/>
  <c r="C40" i="5"/>
  <c r="B40" i="5"/>
  <c r="G34" i="5"/>
  <c r="F34" i="5"/>
  <c r="E34" i="5"/>
  <c r="D34" i="5"/>
  <c r="C34" i="5"/>
  <c r="B34" i="5"/>
  <c r="G28" i="5"/>
  <c r="F28" i="5"/>
  <c r="E28" i="5"/>
  <c r="D28" i="5"/>
  <c r="C28" i="5"/>
  <c r="B28" i="5"/>
  <c r="E14" i="5"/>
  <c r="E13" i="5"/>
  <c r="E11" i="5"/>
  <c r="F11" i="5" s="1"/>
  <c r="G11" i="5" s="1"/>
  <c r="G10" i="5"/>
  <c r="F10" i="5"/>
  <c r="E10" i="5"/>
  <c r="E9" i="5"/>
  <c r="F9" i="5" s="1"/>
  <c r="G9" i="5" s="1"/>
  <c r="E8" i="5"/>
  <c r="F8" i="5" s="1"/>
  <c r="G8" i="5" s="1"/>
  <c r="E7" i="5"/>
  <c r="F7" i="5" s="1"/>
  <c r="G7" i="5" s="1"/>
  <c r="E6" i="5"/>
  <c r="F6" i="5" s="1"/>
  <c r="G6" i="5" s="1"/>
  <c r="F5" i="5"/>
  <c r="G5" i="5" s="1"/>
  <c r="E5" i="5"/>
  <c r="F4" i="5"/>
  <c r="G4" i="5" s="1"/>
  <c r="E4" i="5"/>
  <c r="F12" i="2"/>
  <c r="G12" i="2" s="1"/>
  <c r="H12" i="2" s="1"/>
  <c r="H11" i="2"/>
  <c r="G11" i="2"/>
  <c r="F11" i="2"/>
  <c r="F10" i="2"/>
  <c r="G10" i="2" s="1"/>
  <c r="H10" i="2" s="1"/>
  <c r="F9" i="2"/>
  <c r="G9" i="2" s="1"/>
  <c r="H9" i="2" s="1"/>
  <c r="F8" i="2"/>
  <c r="G8" i="2" s="1"/>
  <c r="H8" i="2" s="1"/>
  <c r="F7" i="2"/>
  <c r="G7" i="2" s="1"/>
  <c r="H7" i="2" s="1"/>
  <c r="G6" i="2"/>
  <c r="H6" i="2" s="1"/>
  <c r="F6" i="2"/>
  <c r="G5" i="2"/>
  <c r="H5" i="2" s="1"/>
  <c r="F5" i="2"/>
  <c r="E18" i="1"/>
  <c r="F18" i="1" s="1"/>
  <c r="G18" i="1" s="1"/>
  <c r="G17" i="1"/>
  <c r="F17" i="1"/>
  <c r="E17" i="1"/>
  <c r="E16" i="1"/>
  <c r="F16" i="1" s="1"/>
  <c r="G16" i="1" s="1"/>
  <c r="E15" i="1"/>
  <c r="F15" i="1" s="1"/>
  <c r="G15" i="1" s="1"/>
  <c r="E14" i="1"/>
  <c r="F14" i="1" s="1"/>
  <c r="G14" i="1" s="1"/>
  <c r="E13" i="1"/>
  <c r="F13" i="1" s="1"/>
  <c r="G13" i="1" s="1"/>
  <c r="F12" i="1"/>
  <c r="G12" i="1" s="1"/>
  <c r="E12" i="1"/>
  <c r="F11" i="1"/>
  <c r="G11" i="1" s="1"/>
  <c r="E11" i="1"/>
  <c r="E10" i="1"/>
  <c r="F10" i="1" s="1"/>
  <c r="G10" i="1" s="1"/>
  <c r="G9" i="1"/>
  <c r="F9" i="1"/>
  <c r="E9" i="1"/>
  <c r="E8" i="1"/>
  <c r="F8" i="1" s="1"/>
  <c r="G8" i="1" s="1"/>
  <c r="E7" i="1"/>
  <c r="F7" i="1" s="1"/>
  <c r="G7" i="1" s="1"/>
  <c r="E6" i="1"/>
  <c r="F6" i="1" s="1"/>
  <c r="G6" i="1" s="1"/>
  <c r="E5" i="1"/>
  <c r="F5" i="1" s="1"/>
  <c r="G5" i="1" s="1"/>
  <c r="H25" i="9" l="1"/>
  <c r="I25" i="9" s="1"/>
  <c r="H9" i="9"/>
  <c r="I9" i="9" s="1"/>
  <c r="H8" i="9"/>
  <c r="I8" i="9" s="1"/>
  <c r="H45" i="9"/>
  <c r="I45" i="9" s="1"/>
  <c r="H18" i="9"/>
  <c r="I18" i="9" s="1"/>
  <c r="H33" i="9"/>
  <c r="I33" i="9" s="1"/>
  <c r="H50" i="9"/>
  <c r="I50" i="9" s="1"/>
  <c r="H5" i="9"/>
  <c r="I5" i="9" s="1"/>
  <c r="H22" i="9"/>
  <c r="I22" i="9" s="1"/>
  <c r="H40" i="9"/>
  <c r="I40" i="9" s="1"/>
  <c r="G6" i="9"/>
  <c r="H6" i="9" s="1"/>
  <c r="I6" i="9" s="1"/>
  <c r="F14" i="9"/>
  <c r="H14" i="9" s="1"/>
  <c r="I14" i="9" s="1"/>
  <c r="G17" i="9"/>
  <c r="H17" i="9" s="1"/>
  <c r="I17" i="9" s="1"/>
  <c r="F25" i="9"/>
  <c r="G31" i="9"/>
  <c r="H31" i="9" s="1"/>
  <c r="I31" i="9" s="1"/>
  <c r="F40" i="9"/>
  <c r="G43" i="9"/>
  <c r="H43" i="9" s="1"/>
  <c r="I43" i="9" s="1"/>
  <c r="F51" i="9"/>
  <c r="H51" i="9" s="1"/>
  <c r="I51" i="9" s="1"/>
  <c r="G54" i="9"/>
  <c r="H54" i="9" s="1"/>
  <c r="I54" i="9" s="1"/>
  <c r="F62" i="9"/>
  <c r="H62" i="9" s="1"/>
  <c r="I62" i="9" s="1"/>
  <c r="K26" i="14"/>
  <c r="F8" i="9"/>
  <c r="L26" i="14"/>
  <c r="F5" i="9"/>
  <c r="F16" i="9"/>
  <c r="H16" i="9" s="1"/>
  <c r="I16" i="9" s="1"/>
  <c r="M26" i="14"/>
  <c r="F13" i="9"/>
  <c r="H13" i="9" s="1"/>
  <c r="I13" i="9" s="1"/>
  <c r="F24" i="9"/>
  <c r="H24" i="9" s="1"/>
  <c r="I24" i="9" s="1"/>
  <c r="F35" i="9"/>
  <c r="H35" i="9" s="1"/>
  <c r="I35" i="9" s="1"/>
  <c r="F50" i="9"/>
  <c r="F61" i="9"/>
  <c r="H61" i="9" s="1"/>
  <c r="I61" i="9" s="1"/>
  <c r="F9" i="9"/>
  <c r="F23" i="9"/>
  <c r="H23" i="9" s="1"/>
  <c r="I23" i="9" s="1"/>
  <c r="F34" i="9"/>
  <c r="H34" i="9" s="1"/>
  <c r="I34" i="9" s="1"/>
  <c r="F49" i="9"/>
  <c r="H49" i="9" s="1"/>
  <c r="I49" i="9" s="1"/>
  <c r="F60" i="9"/>
  <c r="H60" i="9" s="1"/>
  <c r="I60" i="9" s="1"/>
</calcChain>
</file>

<file path=xl/sharedStrings.xml><?xml version="1.0" encoding="utf-8"?>
<sst xmlns="http://schemas.openxmlformats.org/spreadsheetml/2006/main" count="854" uniqueCount="537">
  <si>
    <t>MÉTODO HIDROSTÁTICO</t>
  </si>
  <si>
    <t>!!!Leed con atención las instrucciones¡¡¡</t>
  </si>
  <si>
    <t>muestra</t>
  </si>
  <si>
    <r>
      <rPr>
        <b/>
        <i/>
        <sz val="9"/>
        <color theme="1"/>
        <rFont val="Arial"/>
      </rPr>
      <t>M</t>
    </r>
    <r>
      <rPr>
        <b/>
        <i/>
        <vertAlign val="subscript"/>
        <sz val="9"/>
        <color theme="1"/>
        <rFont val="Arial"/>
      </rPr>
      <t>c</t>
    </r>
    <r>
      <rPr>
        <b/>
        <vertAlign val="subscript"/>
        <sz val="9"/>
        <color theme="1"/>
        <rFont val="Symbol"/>
      </rPr>
      <t>±</t>
    </r>
    <r>
      <rPr>
        <b/>
        <sz val="9"/>
        <color theme="1"/>
        <rFont val="Arial"/>
      </rPr>
      <t xml:space="preserve"> 0,01(g)</t>
    </r>
  </si>
  <si>
    <r>
      <rPr>
        <b/>
        <i/>
        <sz val="9"/>
        <color theme="1"/>
        <rFont val="Arial"/>
      </rPr>
      <t>M</t>
    </r>
    <r>
      <rPr>
        <b/>
        <i/>
        <vertAlign val="subscript"/>
        <sz val="9"/>
        <color theme="1"/>
        <rFont val="Arial"/>
      </rPr>
      <t>csa</t>
    </r>
    <r>
      <rPr>
        <b/>
        <sz val="9"/>
        <color theme="1"/>
        <rFont val="Arial"/>
      </rPr>
      <t>± 0,01</t>
    </r>
    <r>
      <rPr>
        <b/>
        <sz val="9"/>
        <color theme="1"/>
        <rFont val="Arial"/>
      </rPr>
      <t xml:space="preserve"> (g)</t>
    </r>
  </si>
  <si>
    <r>
      <rPr>
        <b/>
        <i/>
        <sz val="8"/>
        <color theme="1"/>
        <rFont val="Arial"/>
      </rPr>
      <t>M</t>
    </r>
    <r>
      <rPr>
        <b/>
        <i/>
        <vertAlign val="subscript"/>
        <sz val="8"/>
        <color theme="1"/>
        <rFont val="Arial"/>
      </rPr>
      <t>csal</t>
    </r>
    <r>
      <rPr>
        <b/>
        <sz val="8"/>
        <color theme="1"/>
        <rFont val="Arial"/>
      </rPr>
      <t>± 0,01 (g)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</si>
  <si>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H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</si>
  <si>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i/>
        <vertAlign val="superscript"/>
        <sz val="9"/>
        <color theme="1"/>
        <rFont val="Arial"/>
      </rPr>
      <t>H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</si>
  <si>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i/>
        <vertAlign val="superscript"/>
        <sz val="9"/>
        <color theme="1"/>
        <rFont val="Arial"/>
      </rPr>
      <t>H</t>
    </r>
    <r>
      <rPr>
        <b/>
        <sz val="9"/>
        <color theme="1"/>
        <rFont val="Symbol"/>
      </rPr>
      <t>(%)</t>
    </r>
  </si>
  <si>
    <r>
      <rPr>
        <b/>
        <sz val="11"/>
        <color theme="1"/>
        <rFont val="Arial"/>
      </rPr>
      <t xml:space="preserve">    hoja 1:      </t>
    </r>
    <r>
      <rPr>
        <b/>
        <i/>
        <sz val="11"/>
        <color theme="1"/>
        <rFont val="Arial"/>
      </rPr>
      <t xml:space="preserve">Método hidrostático </t>
    </r>
    <r>
      <rPr>
        <b/>
        <sz val="11"/>
        <color theme="1"/>
        <rFont val="Arial"/>
      </rPr>
      <t>(sesión 2ª)</t>
    </r>
  </si>
  <si>
    <t>I(placa_gris)</t>
  </si>
  <si>
    <r>
      <rPr>
        <b/>
        <sz val="11"/>
        <color theme="1"/>
        <rFont val="Arial"/>
      </rPr>
      <t xml:space="preserve">    hoja 2:      </t>
    </r>
    <r>
      <rPr>
        <b/>
        <i/>
        <sz val="11"/>
        <color theme="1"/>
        <rFont val="Arial"/>
      </rPr>
      <t xml:space="preserve">Método geométrico </t>
    </r>
    <r>
      <rPr>
        <b/>
        <sz val="11"/>
        <color theme="1"/>
        <rFont val="Arial"/>
      </rPr>
      <t>(sesión 2ª)</t>
    </r>
  </si>
  <si>
    <t>II(placa_azul)</t>
  </si>
  <si>
    <r>
      <rPr>
        <b/>
        <sz val="11"/>
        <color theme="1"/>
        <rFont val="Arial"/>
      </rPr>
      <t xml:space="preserve">    hoja 3:</t>
    </r>
    <r>
      <rPr>
        <b/>
        <i/>
        <sz val="11"/>
        <color theme="1"/>
        <rFont val="Arial"/>
      </rPr>
      <t xml:space="preserve">      Resumen</t>
    </r>
    <r>
      <rPr>
        <b/>
        <sz val="11"/>
        <color theme="1"/>
        <rFont val="Arial"/>
      </rPr>
      <t xml:space="preserve"> (sesión 2ª)</t>
    </r>
  </si>
  <si>
    <t>III(placa_verde)</t>
  </si>
  <si>
    <r>
      <rPr>
        <b/>
        <sz val="11"/>
        <color theme="1"/>
        <rFont val="Arial"/>
      </rPr>
      <t xml:space="preserve">    hoja 4:</t>
    </r>
    <r>
      <rPr>
        <b/>
        <i/>
        <sz val="11"/>
        <color theme="1"/>
        <rFont val="Arial"/>
      </rPr>
      <t xml:space="preserve">      Revisión </t>
    </r>
    <r>
      <rPr>
        <b/>
        <sz val="11"/>
        <color theme="1"/>
        <rFont val="Arial"/>
      </rPr>
      <t>(sesión 3ª)</t>
    </r>
  </si>
  <si>
    <t>IV(placa_cristal)</t>
  </si>
  <si>
    <r>
      <rPr>
        <b/>
        <sz val="11"/>
        <color theme="1"/>
        <rFont val="Arial"/>
      </rPr>
      <t xml:space="preserve">    hoja 5:</t>
    </r>
    <r>
      <rPr>
        <b/>
        <i/>
        <sz val="11"/>
        <color theme="1"/>
        <rFont val="Arial"/>
      </rPr>
      <t xml:space="preserve">      Resumen final </t>
    </r>
    <r>
      <rPr>
        <b/>
        <sz val="11"/>
        <color theme="1"/>
        <rFont val="Arial"/>
      </rPr>
      <t>(sesión 3ª)</t>
    </r>
  </si>
  <si>
    <t>V(anillo_gris)</t>
  </si>
  <si>
    <r>
      <rPr>
        <b/>
        <sz val="11"/>
        <color theme="1"/>
        <rFont val="Arial"/>
      </rPr>
      <t xml:space="preserve">    hojas 6-7: </t>
    </r>
    <r>
      <rPr>
        <b/>
        <i/>
        <sz val="11"/>
        <color theme="1"/>
        <rFont val="Arial"/>
      </rPr>
      <t xml:space="preserve">Ampliación </t>
    </r>
    <r>
      <rPr>
        <b/>
        <sz val="11"/>
        <color theme="1"/>
        <rFont val="Arial"/>
      </rPr>
      <t>(sesión 4ª)</t>
    </r>
  </si>
  <si>
    <t>VI(arandela_dorada)</t>
  </si>
  <si>
    <r>
      <rPr>
        <b/>
        <sz val="9"/>
        <color theme="1"/>
        <rFont val="Arial"/>
      </rPr>
      <t>VII</t>
    </r>
    <r>
      <rPr>
        <b/>
        <sz val="8"/>
        <color theme="1"/>
        <rFont val="Arial"/>
      </rPr>
      <t>(barra cuad.)</t>
    </r>
  </si>
  <si>
    <t>VIII(alc)I</t>
  </si>
  <si>
    <t>xxxxxxx</t>
  </si>
  <si>
    <t>VIII(alc)II</t>
  </si>
  <si>
    <r>
      <rPr>
        <b/>
        <sz val="11"/>
        <color theme="1"/>
        <rFont val="Arial"/>
      </rPr>
      <t xml:space="preserve">sustituir: </t>
    </r>
    <r>
      <rPr>
        <b/>
        <i/>
        <sz val="11"/>
        <color theme="1"/>
        <rFont val="Arial"/>
      </rPr>
      <t>placa 1</t>
    </r>
    <r>
      <rPr>
        <b/>
        <sz val="11"/>
        <color theme="1"/>
        <rFont val="Arial"/>
      </rPr>
      <t xml:space="preserve"> por: </t>
    </r>
    <r>
      <rPr>
        <b/>
        <i/>
        <sz val="11"/>
        <color theme="1"/>
        <rFont val="Arial"/>
      </rPr>
      <t>placa azul,</t>
    </r>
    <r>
      <rPr>
        <b/>
        <sz val="11"/>
        <color theme="1"/>
        <rFont val="Arial"/>
      </rPr>
      <t xml:space="preserve"> </t>
    </r>
    <r>
      <rPr>
        <b/>
        <i/>
        <sz val="11"/>
        <color theme="1"/>
        <rFont val="Arial"/>
      </rPr>
      <t>verde..</t>
    </r>
    <r>
      <rPr>
        <b/>
        <sz val="11"/>
        <color theme="1"/>
        <rFont val="Arial"/>
      </rPr>
      <t xml:space="preserve"> la que sea, etc..</t>
    </r>
  </si>
  <si>
    <t>VIII(alc)III</t>
  </si>
  <si>
    <t>VIII(alc)IV</t>
  </si>
  <si>
    <t>VIII(alc)V</t>
  </si>
  <si>
    <t>VIII(alc)VI</t>
  </si>
  <si>
    <t>VIII(alc)VII</t>
  </si>
  <si>
    <r>
      <rPr>
        <b/>
        <i/>
        <sz val="10"/>
        <color theme="1"/>
        <rFont val="Noto Sans Symbols"/>
      </rPr>
      <t>r</t>
    </r>
    <r>
      <rPr>
        <b/>
        <vertAlign val="subscript"/>
        <sz val="10"/>
        <color theme="1"/>
        <rFont val="Arial"/>
      </rPr>
      <t>agua</t>
    </r>
    <r>
      <rPr>
        <b/>
        <sz val="10"/>
        <color theme="1"/>
        <rFont val="Arial"/>
      </rPr>
      <t>:      1,00 (g·cm</t>
    </r>
    <r>
      <rPr>
        <b/>
        <vertAlign val="superscript"/>
        <sz val="10"/>
        <color theme="1"/>
        <rFont val="Arial"/>
      </rPr>
      <t>-3</t>
    </r>
    <r>
      <rPr>
        <b/>
        <sz val="10"/>
        <color theme="1"/>
        <rFont val="Arial"/>
      </rPr>
      <t>)</t>
    </r>
  </si>
  <si>
    <t xml:space="preserve">    tabla no necesaria para el informe</t>
  </si>
  <si>
    <r>
      <rPr>
        <b/>
        <sz val="10"/>
        <color theme="1"/>
        <rFont val="Noto Sans Symbols"/>
      </rPr>
      <t>d</t>
    </r>
    <r>
      <rPr>
        <b/>
        <i/>
        <sz val="10"/>
        <color theme="1"/>
        <rFont val="Symbol"/>
      </rPr>
      <t>r</t>
    </r>
    <r>
      <rPr>
        <b/>
        <vertAlign val="subscript"/>
        <sz val="10"/>
        <color theme="1"/>
        <rFont val="Arial"/>
      </rPr>
      <t>agua</t>
    </r>
    <r>
      <rPr>
        <b/>
        <sz val="10"/>
        <color theme="1"/>
        <rFont val="Arial"/>
      </rPr>
      <t>:    0,05 (g·cm</t>
    </r>
    <r>
      <rPr>
        <b/>
        <vertAlign val="superscript"/>
        <sz val="10"/>
        <color theme="1"/>
        <rFont val="Arial"/>
      </rPr>
      <t>-3</t>
    </r>
    <r>
      <rPr>
        <b/>
        <sz val="10"/>
        <color theme="1"/>
        <rFont val="Arial"/>
      </rPr>
      <t>)</t>
    </r>
  </si>
  <si>
    <t xml:space="preserve">      Es preferible que las cuatro primeras muestras sean las placas</t>
  </si>
  <si>
    <r>
      <rPr>
        <b/>
        <i/>
        <sz val="14"/>
        <color theme="1"/>
        <rFont val="Arial"/>
      </rPr>
      <t>Amarillo</t>
    </r>
    <r>
      <rPr>
        <b/>
        <sz val="14"/>
        <color theme="1"/>
        <rFont val="Arial"/>
      </rPr>
      <t xml:space="preserve">:     DATOS.         </t>
    </r>
  </si>
  <si>
    <r>
      <rPr>
        <b/>
        <i/>
        <sz val="14"/>
        <color theme="1"/>
        <rFont val="Arial"/>
      </rPr>
      <t xml:space="preserve">      Verde:   </t>
    </r>
    <r>
      <rPr>
        <b/>
        <sz val="14"/>
        <color theme="1"/>
        <rFont val="Arial"/>
      </rPr>
      <t xml:space="preserve">CÁLCULOS    </t>
    </r>
    <r>
      <rPr>
        <b/>
        <i/>
        <sz val="14"/>
        <color theme="1"/>
        <rFont val="Arial"/>
      </rPr>
      <t xml:space="preserve"> (sesión posterior)</t>
    </r>
  </si>
  <si>
    <t>Programar las operaciones pertinentes en las columnas E, F y G (ver guión):</t>
  </si>
  <si>
    <t>En E5 la densidad de los sólidos: =B5/(B5-C5); tirar hasta E11; en E12 densidad del alcohol: =(B5-D5)/(B5-C5), etc..</t>
  </si>
  <si>
    <t>En F5, la precisión absoluta de los sólidos: =E5*(0,01/B5+0,02/(B5-C5)+0,05); tirar hasta F11; en F12, la del alcohol….</t>
  </si>
  <si>
    <t>En G5 la precisión relativa; idéntica para todos: =100*F5/E5, tirar hasta G18.</t>
  </si>
  <si>
    <r>
      <rPr>
        <b/>
        <sz val="12"/>
        <color theme="1"/>
        <rFont val="Arial"/>
      </rPr>
      <t xml:space="preserve">!!Redondear adecuacamente los resultados de dichas columnas¡¡¡ </t>
    </r>
    <r>
      <rPr>
        <b/>
        <sz val="11"/>
        <color theme="1"/>
        <rFont val="Arial"/>
      </rPr>
      <t>(ver "</t>
    </r>
    <r>
      <rPr>
        <b/>
        <i/>
        <sz val="11"/>
        <color theme="1"/>
        <rFont val="Arial"/>
      </rPr>
      <t>precisión2</t>
    </r>
    <r>
      <rPr>
        <b/>
        <sz val="11"/>
        <color theme="1"/>
        <rFont val="Arial"/>
      </rPr>
      <t>")</t>
    </r>
    <r>
      <rPr>
        <b/>
        <sz val="10"/>
        <color theme="1"/>
        <rFont val="Arial"/>
      </rPr>
      <t xml:space="preserve">: </t>
    </r>
  </si>
  <si>
    <r>
      <rPr>
        <b/>
        <sz val="12"/>
        <color theme="1"/>
        <rFont val="Arial"/>
      </rPr>
      <t>a/</t>
    </r>
    <r>
      <rPr>
        <b/>
        <i/>
        <sz val="12"/>
        <color theme="1"/>
        <rFont val="Arial"/>
      </rPr>
      <t>Precisión absoluta:</t>
    </r>
    <r>
      <rPr>
        <b/>
        <sz val="12"/>
        <color theme="1"/>
        <rFont val="Arial"/>
      </rPr>
      <t xml:space="preserve"> a la primera cifra significativa;  usad comandos:              arriba a la derecha</t>
    </r>
  </si>
  <si>
    <r>
      <rPr>
        <b/>
        <sz val="12"/>
        <color theme="1"/>
        <rFont val="Arial"/>
      </rPr>
      <t>b/</t>
    </r>
    <r>
      <rPr>
        <b/>
        <i/>
        <sz val="12"/>
        <color theme="1"/>
        <rFont val="Arial"/>
      </rPr>
      <t>Valor de la densidad</t>
    </r>
    <r>
      <rPr>
        <b/>
        <sz val="12"/>
        <color theme="1"/>
        <rFont val="Arial"/>
      </rPr>
      <t>: mismas cifras decimales que la precisión absoluta.</t>
    </r>
  </si>
  <si>
    <r>
      <rPr>
        <b/>
        <sz val="12"/>
        <color theme="1"/>
        <rFont val="Arial"/>
      </rPr>
      <t>c</t>
    </r>
    <r>
      <rPr>
        <b/>
        <i/>
        <sz val="12"/>
        <color theme="1"/>
        <rFont val="Arial"/>
      </rPr>
      <t>/Precisión relativa:</t>
    </r>
    <r>
      <rPr>
        <b/>
        <sz val="12"/>
        <color theme="1"/>
        <rFont val="Arial"/>
      </rPr>
      <t xml:space="preserve"> a enteros (o un decimal si es menor que uno).</t>
    </r>
  </si>
  <si>
    <t xml:space="preserve">      GUARDAR EN:  "Alumnos/Grupo/nombre específico de archivo" (ej.: densidad_pepa y pepa").</t>
  </si>
  <si>
    <t xml:space="preserve">    MÉTODO GEOMÉTRICO</t>
  </si>
  <si>
    <t xml:space="preserve">    !!!Leed con atención las instrucciones¡¡¡</t>
  </si>
  <si>
    <r>
      <rPr>
        <b/>
        <i/>
        <sz val="9"/>
        <color theme="1"/>
        <rFont val="Arial"/>
      </rPr>
      <t>M</t>
    </r>
    <r>
      <rPr>
        <b/>
        <i/>
        <vertAlign val="subscript"/>
        <sz val="9"/>
        <color theme="1"/>
        <rFont val="Arial"/>
      </rPr>
      <t>c</t>
    </r>
    <r>
      <rPr>
        <sz val="9"/>
        <color theme="1"/>
        <rFont val="Arial"/>
      </rPr>
      <t>(</t>
    </r>
    <r>
      <rPr>
        <sz val="10"/>
        <color theme="1"/>
        <rFont val="Arial"/>
      </rPr>
      <t>*</t>
    </r>
    <r>
      <rPr>
        <sz val="9"/>
        <color theme="1"/>
        <rFont val="Arial"/>
      </rPr>
      <t>)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 xml:space="preserve"> 0,01(g)</t>
    </r>
  </si>
  <si>
    <r>
      <rPr>
        <b/>
        <i/>
        <sz val="9"/>
        <color theme="1"/>
        <rFont val="Arial"/>
      </rPr>
      <t>h±</t>
    </r>
    <r>
      <rPr>
        <b/>
        <sz val="9"/>
        <color theme="1"/>
        <rFont val="Arial"/>
      </rPr>
      <t>0,005(cm)</t>
    </r>
  </si>
  <si>
    <r>
      <rPr>
        <b/>
        <i/>
        <sz val="9"/>
        <color theme="1"/>
        <rFont val="Arial"/>
      </rPr>
      <t>a</t>
    </r>
    <r>
      <rPr>
        <b/>
        <sz val="9"/>
        <color theme="1"/>
        <rFont val="Arial"/>
      </rPr>
      <t xml:space="preserve">[ó </t>
    </r>
    <r>
      <rPr>
        <b/>
        <i/>
        <sz val="9"/>
        <color theme="1"/>
        <rFont val="Arial"/>
      </rPr>
      <t>D</t>
    </r>
    <r>
      <rPr>
        <b/>
        <i/>
        <vertAlign val="subscript"/>
        <sz val="9"/>
        <color theme="1"/>
        <rFont val="Arial"/>
      </rPr>
      <t>e</t>
    </r>
    <r>
      <rPr>
        <b/>
        <vertAlign val="subscript"/>
        <sz val="9"/>
        <color theme="1"/>
        <rFont val="Arial"/>
      </rPr>
      <t xml:space="preserve">, </t>
    </r>
    <r>
      <rPr>
        <b/>
        <i/>
        <sz val="9"/>
        <color theme="1"/>
        <rFont val="Arial"/>
      </rPr>
      <t>a</t>
    </r>
    <r>
      <rPr>
        <b/>
        <i/>
        <vertAlign val="subscript"/>
        <sz val="9"/>
        <color theme="1"/>
        <rFont val="Arial"/>
      </rPr>
      <t>e</t>
    </r>
    <r>
      <rPr>
        <b/>
        <sz val="9"/>
        <color theme="1"/>
        <rFont val="Arial"/>
      </rPr>
      <t>]</t>
    </r>
    <r>
      <rPr>
        <sz val="9"/>
        <color theme="1"/>
        <rFont val="Arial"/>
      </rPr>
      <t>(</t>
    </r>
    <r>
      <rPr>
        <b/>
        <sz val="10"/>
        <color theme="1"/>
        <rFont val="Arial"/>
      </rPr>
      <t>#</t>
    </r>
    <r>
      <rPr>
        <sz val="9"/>
        <color theme="1"/>
        <rFont val="Arial"/>
      </rPr>
      <t>)</t>
    </r>
    <r>
      <rPr>
        <b/>
        <sz val="9"/>
        <color theme="1"/>
        <rFont val="Arial"/>
      </rPr>
      <t>±</t>
    </r>
    <r>
      <rPr>
        <b/>
        <sz val="8"/>
        <color theme="1"/>
        <rFont val="Arial"/>
      </rPr>
      <t>0,005(cm)</t>
    </r>
  </si>
  <si>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 xml:space="preserve">[ó </t>
    </r>
    <r>
      <rPr>
        <b/>
        <i/>
        <sz val="9"/>
        <color theme="1"/>
        <rFont val="Arial"/>
      </rPr>
      <t>D</t>
    </r>
    <r>
      <rPr>
        <b/>
        <i/>
        <vertAlign val="subscript"/>
        <sz val="9"/>
        <color theme="1"/>
        <rFont val="Arial"/>
      </rPr>
      <t>i</t>
    </r>
    <r>
      <rPr>
        <b/>
        <vertAlign val="subscript"/>
        <sz val="9"/>
        <color theme="1"/>
        <rFont val="Arial"/>
      </rPr>
      <t xml:space="preserve">, </t>
    </r>
    <r>
      <rPr>
        <b/>
        <i/>
        <sz val="9"/>
        <color theme="1"/>
        <rFont val="Arial"/>
      </rPr>
      <t>a</t>
    </r>
    <r>
      <rPr>
        <b/>
        <i/>
        <vertAlign val="subscript"/>
        <sz val="9"/>
        <color theme="1"/>
        <rFont val="Arial"/>
      </rPr>
      <t>i</t>
    </r>
    <r>
      <rPr>
        <b/>
        <sz val="9"/>
        <color theme="1"/>
        <rFont val="Arial"/>
      </rPr>
      <t>](&amp;)</t>
    </r>
    <r>
      <rPr>
        <b/>
        <sz val="8"/>
        <color theme="1"/>
        <rFont val="Arial"/>
      </rPr>
      <t>±0,005(cm)</t>
    </r>
  </si>
  <si>
    <r>
      <rPr>
        <b/>
        <i/>
        <sz val="10"/>
        <color theme="1"/>
        <rFont val="Noto Sans Symbols"/>
      </rPr>
      <t>r</t>
    </r>
    <r>
      <rPr>
        <b/>
        <i/>
        <vertAlign val="superscript"/>
        <sz val="10"/>
        <color theme="1"/>
        <rFont val="Arial"/>
      </rPr>
      <t>G</t>
    </r>
    <r>
      <rPr>
        <b/>
        <sz val="10"/>
        <color theme="1"/>
        <rFont val="Arial"/>
      </rPr>
      <t>(g·cm</t>
    </r>
    <r>
      <rPr>
        <b/>
        <vertAlign val="superscript"/>
        <sz val="10"/>
        <color theme="1"/>
        <rFont val="Arial"/>
      </rPr>
      <t>-3</t>
    </r>
    <r>
      <rPr>
        <b/>
        <sz val="10"/>
        <color theme="1"/>
        <rFont val="Arial"/>
      </rPr>
      <t>)</t>
    </r>
  </si>
  <si>
    <r>
      <rPr>
        <b/>
        <sz val="10"/>
        <color theme="1"/>
        <rFont val="Noto Sans Symbols"/>
      </rPr>
      <t>d</t>
    </r>
    <r>
      <rPr>
        <b/>
        <i/>
        <sz val="10"/>
        <color theme="1"/>
        <rFont val="Symbol"/>
      </rPr>
      <t>r</t>
    </r>
    <r>
      <rPr>
        <b/>
        <i/>
        <vertAlign val="superscript"/>
        <sz val="10"/>
        <color theme="1"/>
        <rFont val="Arial"/>
      </rPr>
      <t>G</t>
    </r>
    <r>
      <rPr>
        <b/>
        <sz val="10"/>
        <color theme="1"/>
        <rFont val="Arial"/>
      </rPr>
      <t>(g·cm</t>
    </r>
    <r>
      <rPr>
        <b/>
        <vertAlign val="superscript"/>
        <sz val="10"/>
        <color theme="1"/>
        <rFont val="Arial"/>
      </rPr>
      <t>-3</t>
    </r>
    <r>
      <rPr>
        <b/>
        <sz val="10"/>
        <color theme="1"/>
        <rFont val="Arial"/>
      </rPr>
      <t>)</t>
    </r>
  </si>
  <si>
    <r>
      <rPr>
        <b/>
        <sz val="10"/>
        <color theme="1"/>
        <rFont val="Noto Sans Symbols"/>
      </rPr>
      <t>D</t>
    </r>
    <r>
      <rPr>
        <b/>
        <i/>
        <sz val="10"/>
        <color theme="1"/>
        <rFont val="Symbol"/>
      </rPr>
      <t>r</t>
    </r>
    <r>
      <rPr>
        <b/>
        <i/>
        <vertAlign val="superscript"/>
        <sz val="10"/>
        <color theme="1"/>
        <rFont val="Arial"/>
      </rPr>
      <t>G</t>
    </r>
    <r>
      <rPr>
        <b/>
        <sz val="10"/>
        <color theme="1"/>
        <rFont val="Symbol"/>
      </rPr>
      <t>(%)</t>
    </r>
  </si>
  <si>
    <t>Es preferible que las cuatro</t>
  </si>
  <si>
    <t>primeras muestras sean las</t>
  </si>
  <si>
    <t>placas, y en el mismo orden</t>
  </si>
  <si>
    <t>que en la hoja anterior.</t>
  </si>
  <si>
    <t>Especificar: verde, azul,….</t>
  </si>
  <si>
    <r>
      <rPr>
        <b/>
        <sz val="9"/>
        <color theme="1"/>
        <rFont val="Arial"/>
      </rPr>
      <t>VII</t>
    </r>
    <r>
      <rPr>
        <b/>
        <sz val="8"/>
        <color theme="1"/>
        <rFont val="Arial"/>
      </rPr>
      <t>(barra cuad.)</t>
    </r>
  </si>
  <si>
    <t>VIII(alcohol)</t>
  </si>
  <si>
    <r>
      <rPr>
        <b/>
        <sz val="11"/>
        <color theme="1"/>
        <rFont val="Arial"/>
      </rPr>
      <t xml:space="preserve">sustituir: </t>
    </r>
    <r>
      <rPr>
        <b/>
        <i/>
        <sz val="11"/>
        <color theme="1"/>
        <rFont val="Arial"/>
      </rPr>
      <t>placa 1</t>
    </r>
    <r>
      <rPr>
        <b/>
        <sz val="11"/>
        <color theme="1"/>
        <rFont val="Arial"/>
      </rPr>
      <t xml:space="preserve"> por: </t>
    </r>
    <r>
      <rPr>
        <b/>
        <i/>
        <sz val="11"/>
        <color theme="1"/>
        <rFont val="Arial"/>
      </rPr>
      <t>placa azul,</t>
    </r>
    <r>
      <rPr>
        <b/>
        <sz val="11"/>
        <color theme="1"/>
        <rFont val="Arial"/>
      </rPr>
      <t xml:space="preserve"> </t>
    </r>
    <r>
      <rPr>
        <b/>
        <i/>
        <sz val="11"/>
        <color theme="1"/>
        <rFont val="Arial"/>
      </rPr>
      <t>verde..</t>
    </r>
    <r>
      <rPr>
        <b/>
        <sz val="11"/>
        <color theme="1"/>
        <rFont val="Arial"/>
      </rPr>
      <t xml:space="preserve"> la que sea, etc…</t>
    </r>
  </si>
  <si>
    <t xml:space="preserve">  !!!  Atención: datos de longitudes en centímetros¡¡¡</t>
  </si>
  <si>
    <r>
      <rPr>
        <b/>
        <i/>
        <sz val="10"/>
        <color theme="1"/>
        <rFont val="Arial"/>
      </rPr>
      <t xml:space="preserve">      Amarillo</t>
    </r>
    <r>
      <rPr>
        <b/>
        <sz val="10"/>
        <color theme="1"/>
        <rFont val="Arial"/>
      </rPr>
      <t xml:space="preserve">:   DATOS       </t>
    </r>
  </si>
  <si>
    <t xml:space="preserve">    Verde:   CÁLCULOS    </t>
  </si>
  <si>
    <t>tabla no necesaria para el informe</t>
  </si>
  <si>
    <t xml:space="preserve">       (sesión posterior)</t>
  </si>
  <si>
    <t>(*) Masa: valores de la hoja anterior. El alcohol en la  báscula electrónica, tarando el frasco vacío.</t>
  </si>
  <si>
    <r>
      <rPr>
        <b/>
        <sz val="12"/>
        <color theme="1"/>
        <rFont val="Arial"/>
      </rPr>
      <t>(#)</t>
    </r>
    <r>
      <rPr>
        <b/>
        <i/>
        <sz val="12"/>
        <color theme="1"/>
        <rFont val="Arial"/>
      </rPr>
      <t xml:space="preserve"> </t>
    </r>
    <r>
      <rPr>
        <b/>
        <i/>
        <u/>
        <sz val="12"/>
        <color theme="1"/>
        <rFont val="Arial"/>
      </rPr>
      <t>a</t>
    </r>
    <r>
      <rPr>
        <b/>
        <sz val="12"/>
        <color theme="1"/>
        <rFont val="Arial"/>
      </rPr>
      <t xml:space="preserve"> para placas; </t>
    </r>
    <r>
      <rPr>
        <b/>
        <i/>
        <u/>
        <sz val="12"/>
        <color theme="1"/>
        <rFont val="Arial"/>
      </rPr>
      <t>D</t>
    </r>
    <r>
      <rPr>
        <b/>
        <i/>
        <vertAlign val="subscript"/>
        <sz val="12"/>
        <color theme="1"/>
        <rFont val="Arial"/>
      </rPr>
      <t>e</t>
    </r>
    <r>
      <rPr>
        <b/>
        <sz val="12"/>
        <color theme="1"/>
        <rFont val="Arial"/>
      </rPr>
      <t xml:space="preserve"> para el anillo y arandela, y</t>
    </r>
    <r>
      <rPr>
        <b/>
        <u/>
        <sz val="12"/>
        <color theme="1"/>
        <rFont val="Arial"/>
      </rPr>
      <t xml:space="preserve"> </t>
    </r>
    <r>
      <rPr>
        <b/>
        <i/>
        <u/>
        <sz val="12"/>
        <color theme="1"/>
        <rFont val="Arial"/>
      </rPr>
      <t>a</t>
    </r>
    <r>
      <rPr>
        <b/>
        <i/>
        <vertAlign val="subscript"/>
        <sz val="12"/>
        <color theme="1"/>
        <rFont val="Arial"/>
      </rPr>
      <t>e</t>
    </r>
    <r>
      <rPr>
        <b/>
        <sz val="12"/>
        <color theme="1"/>
        <rFont val="Arial"/>
      </rPr>
      <t xml:space="preserve"> para barra hueca  blanca. (ver figuras en el guión)</t>
    </r>
  </si>
  <si>
    <r>
      <rPr>
        <b/>
        <sz val="12"/>
        <color theme="1"/>
        <rFont val="Arial"/>
      </rPr>
      <t>(&amp;)</t>
    </r>
    <r>
      <rPr>
        <b/>
        <i/>
        <sz val="12"/>
        <color theme="1"/>
        <rFont val="Arial"/>
      </rPr>
      <t xml:space="preserve"> </t>
    </r>
    <r>
      <rPr>
        <b/>
        <i/>
        <u/>
        <sz val="12"/>
        <color theme="1"/>
        <rFont val="Arial"/>
      </rPr>
      <t>e</t>
    </r>
    <r>
      <rPr>
        <b/>
        <sz val="12"/>
        <color theme="1"/>
        <rFont val="Arial"/>
      </rPr>
      <t xml:space="preserve"> para placas;</t>
    </r>
    <r>
      <rPr>
        <b/>
        <u/>
        <sz val="12"/>
        <color theme="1"/>
        <rFont val="Arial"/>
      </rPr>
      <t xml:space="preserve"> </t>
    </r>
    <r>
      <rPr>
        <b/>
        <i/>
        <u/>
        <sz val="12"/>
        <color theme="1"/>
        <rFont val="Arial"/>
      </rPr>
      <t>D</t>
    </r>
    <r>
      <rPr>
        <b/>
        <i/>
        <u/>
        <vertAlign val="subscript"/>
        <sz val="12"/>
        <color theme="1"/>
        <rFont val="Arial"/>
      </rPr>
      <t>i</t>
    </r>
    <r>
      <rPr>
        <b/>
        <sz val="12"/>
        <color theme="1"/>
        <rFont val="Arial"/>
      </rPr>
      <t xml:space="preserve"> para el anillo y arandela, y </t>
    </r>
    <r>
      <rPr>
        <b/>
        <i/>
        <u/>
        <sz val="12"/>
        <color theme="1"/>
        <rFont val="Arial"/>
      </rPr>
      <t>a</t>
    </r>
    <r>
      <rPr>
        <b/>
        <i/>
        <u/>
        <vertAlign val="subscript"/>
        <sz val="12"/>
        <color theme="1"/>
        <rFont val="Arial"/>
      </rPr>
      <t>i</t>
    </r>
    <r>
      <rPr>
        <b/>
        <sz val="12"/>
        <color theme="1"/>
        <rFont val="Arial"/>
      </rPr>
      <t xml:space="preserve"> para barra hueca blanca. (ver figuras en el guión)</t>
    </r>
  </si>
  <si>
    <r>
      <rPr>
        <b/>
        <sz val="11"/>
        <color theme="1"/>
        <rFont val="Arial"/>
      </rPr>
      <t>(+) Para el volumen del alcohol en el vaso, no hay más que un diámetro (</t>
    </r>
    <r>
      <rPr>
        <b/>
        <i/>
        <sz val="11"/>
        <color theme="1"/>
        <rFont val="Arial"/>
      </rPr>
      <t>D</t>
    </r>
    <r>
      <rPr>
        <b/>
        <vertAlign val="subscript"/>
        <sz val="11"/>
        <color theme="1"/>
        <rFont val="Arial"/>
      </rPr>
      <t>i</t>
    </r>
    <r>
      <rPr>
        <b/>
        <sz val="11"/>
        <color theme="1"/>
        <rFont val="Arial"/>
      </rPr>
      <t xml:space="preserve">): </t>
    </r>
    <r>
      <rPr>
        <b/>
        <u/>
        <sz val="11"/>
        <color theme="1"/>
        <rFont val="Arial"/>
      </rPr>
      <t>cilindro interior virtual (ver figura).</t>
    </r>
  </si>
  <si>
    <t>Programar en la columna F las densidades respectivas de cada muestra</t>
  </si>
  <si>
    <t>!!!!Obsérvese que no son todas de igual forma geométrica¡¡¡¡</t>
  </si>
  <si>
    <r>
      <rPr>
        <b/>
        <sz val="14"/>
        <color theme="1"/>
        <rFont val="Arial"/>
      </rPr>
      <t>!!!!!  Recordar¡¡¡¡¡:</t>
    </r>
    <r>
      <rPr>
        <b/>
        <i/>
        <sz val="14"/>
        <color theme="1"/>
        <rFont val="Symbol"/>
      </rPr>
      <t xml:space="preserve"> r</t>
    </r>
    <r>
      <rPr>
        <b/>
        <vertAlign val="subscript"/>
        <sz val="14"/>
        <color theme="1"/>
        <rFont val="Arial"/>
      </rPr>
      <t>I,II,III,IV</t>
    </r>
    <r>
      <rPr>
        <b/>
        <sz val="14"/>
        <color theme="1"/>
        <rFont val="Arial"/>
      </rPr>
      <t>=</t>
    </r>
    <r>
      <rPr>
        <b/>
        <i/>
        <sz val="14"/>
        <color theme="1"/>
        <rFont val="Arial"/>
      </rPr>
      <t>M</t>
    </r>
    <r>
      <rPr>
        <b/>
        <sz val="14"/>
        <color theme="1"/>
        <rFont val="Arial"/>
      </rPr>
      <t>/(</t>
    </r>
    <r>
      <rPr>
        <b/>
        <i/>
        <sz val="14"/>
        <color theme="1"/>
        <rFont val="Arial"/>
      </rPr>
      <t>hae</t>
    </r>
    <r>
      <rPr>
        <b/>
        <sz val="14"/>
        <color theme="1"/>
        <rFont val="Arial"/>
      </rPr>
      <t xml:space="preserve">); </t>
    </r>
    <r>
      <rPr>
        <b/>
        <i/>
        <sz val="14"/>
        <color theme="1"/>
        <rFont val="Symbol"/>
      </rPr>
      <t>r</t>
    </r>
    <r>
      <rPr>
        <b/>
        <vertAlign val="subscript"/>
        <sz val="14"/>
        <color theme="1"/>
        <rFont val="Arial"/>
      </rPr>
      <t>V, VI</t>
    </r>
    <r>
      <rPr>
        <b/>
        <sz val="14"/>
        <color theme="1"/>
        <rFont val="Arial"/>
      </rPr>
      <t>=4</t>
    </r>
    <r>
      <rPr>
        <b/>
        <i/>
        <sz val="14"/>
        <color theme="1"/>
        <rFont val="Arial"/>
      </rPr>
      <t>M</t>
    </r>
    <r>
      <rPr>
        <b/>
        <sz val="14"/>
        <color theme="1"/>
        <rFont val="Arial"/>
      </rPr>
      <t>/[</t>
    </r>
    <r>
      <rPr>
        <b/>
        <sz val="14"/>
        <color theme="1"/>
        <rFont val="Symbol"/>
      </rPr>
      <t>p</t>
    </r>
    <r>
      <rPr>
        <b/>
        <i/>
        <sz val="14"/>
        <color theme="1"/>
        <rFont val="Arial"/>
      </rPr>
      <t>h</t>
    </r>
    <r>
      <rPr>
        <b/>
        <sz val="14"/>
        <color theme="1"/>
        <rFont val="Arial"/>
      </rPr>
      <t>(</t>
    </r>
    <r>
      <rPr>
        <b/>
        <i/>
        <sz val="14"/>
        <color theme="1"/>
        <rFont val="Arial"/>
      </rPr>
      <t>D</t>
    </r>
    <r>
      <rPr>
        <b/>
        <vertAlign val="subscript"/>
        <sz val="14"/>
        <color theme="1"/>
        <rFont val="Arial"/>
      </rPr>
      <t>e</t>
    </r>
    <r>
      <rPr>
        <b/>
        <vertAlign val="superscript"/>
        <sz val="14"/>
        <color theme="1"/>
        <rFont val="Arial"/>
      </rPr>
      <t>2</t>
    </r>
    <r>
      <rPr>
        <b/>
        <sz val="14"/>
        <color theme="1"/>
        <rFont val="Arial"/>
      </rPr>
      <t>-</t>
    </r>
    <r>
      <rPr>
        <b/>
        <i/>
        <sz val="14"/>
        <color theme="1"/>
        <rFont val="Arial"/>
      </rPr>
      <t>D</t>
    </r>
    <r>
      <rPr>
        <b/>
        <vertAlign val="subscript"/>
        <sz val="14"/>
        <color theme="1"/>
        <rFont val="Arial"/>
      </rPr>
      <t>i</t>
    </r>
    <r>
      <rPr>
        <b/>
        <vertAlign val="superscript"/>
        <sz val="14"/>
        <color theme="1"/>
        <rFont val="Arial"/>
      </rPr>
      <t>2</t>
    </r>
    <r>
      <rPr>
        <b/>
        <sz val="14"/>
        <color theme="1"/>
        <rFont val="Arial"/>
      </rPr>
      <t>)];</t>
    </r>
    <r>
      <rPr>
        <b/>
        <i/>
        <sz val="14"/>
        <color theme="1"/>
        <rFont val="Symbol"/>
      </rPr>
      <t xml:space="preserve"> </t>
    </r>
  </si>
  <si>
    <r>
      <rPr>
        <b/>
        <i/>
        <sz val="14"/>
        <color theme="1"/>
        <rFont val="Noto Sans Symbols"/>
      </rPr>
      <t>r</t>
    </r>
    <r>
      <rPr>
        <b/>
        <i/>
        <vertAlign val="subscript"/>
        <sz val="14"/>
        <color theme="1"/>
        <rFont val="Arial"/>
      </rPr>
      <t>VII</t>
    </r>
    <r>
      <rPr>
        <b/>
        <i/>
        <sz val="14"/>
        <color theme="1"/>
        <rFont val="Arial"/>
      </rPr>
      <t>=M/[h(a</t>
    </r>
    <r>
      <rPr>
        <b/>
        <i/>
        <vertAlign val="subscript"/>
        <sz val="14"/>
        <color theme="1"/>
        <rFont val="Arial"/>
      </rPr>
      <t>e</t>
    </r>
    <r>
      <rPr>
        <b/>
        <i/>
        <vertAlign val="superscript"/>
        <sz val="14"/>
        <color theme="1"/>
        <rFont val="Arial"/>
      </rPr>
      <t>2</t>
    </r>
    <r>
      <rPr>
        <b/>
        <i/>
        <sz val="14"/>
        <color theme="1"/>
        <rFont val="Arial"/>
      </rPr>
      <t>-a</t>
    </r>
    <r>
      <rPr>
        <b/>
        <i/>
        <vertAlign val="subscript"/>
        <sz val="14"/>
        <color theme="1"/>
        <rFont val="Arial"/>
      </rPr>
      <t>i</t>
    </r>
    <r>
      <rPr>
        <b/>
        <i/>
        <vertAlign val="superscript"/>
        <sz val="14"/>
        <color theme="1"/>
        <rFont val="Arial"/>
      </rPr>
      <t>2</t>
    </r>
    <r>
      <rPr>
        <b/>
        <i/>
        <sz val="14"/>
        <color theme="1"/>
        <rFont val="Arial"/>
      </rPr>
      <t>)]</t>
    </r>
    <r>
      <rPr>
        <b/>
        <i/>
        <sz val="14"/>
        <color theme="1"/>
        <rFont val="Symbol"/>
      </rPr>
      <t>; r</t>
    </r>
    <r>
      <rPr>
        <b/>
        <vertAlign val="subscript"/>
        <sz val="14"/>
        <color theme="1"/>
        <rFont val="Arial"/>
      </rPr>
      <t>VIII</t>
    </r>
    <r>
      <rPr>
        <b/>
        <sz val="14"/>
        <color theme="1"/>
        <rFont val="Arial"/>
      </rPr>
      <t>=4</t>
    </r>
    <r>
      <rPr>
        <b/>
        <i/>
        <sz val="14"/>
        <color theme="1"/>
        <rFont val="Arial"/>
      </rPr>
      <t>M</t>
    </r>
    <r>
      <rPr>
        <b/>
        <sz val="14"/>
        <color theme="1"/>
        <rFont val="Arial"/>
      </rPr>
      <t>/(</t>
    </r>
    <r>
      <rPr>
        <b/>
        <sz val="14"/>
        <color theme="1"/>
        <rFont val="Symbol"/>
      </rPr>
      <t>p</t>
    </r>
    <r>
      <rPr>
        <b/>
        <i/>
        <sz val="14"/>
        <color theme="1"/>
        <rFont val="Arial"/>
      </rPr>
      <t>hD</t>
    </r>
    <r>
      <rPr>
        <b/>
        <vertAlign val="subscript"/>
        <sz val="14"/>
        <color theme="1"/>
        <rFont val="Arial"/>
      </rPr>
      <t>i</t>
    </r>
    <r>
      <rPr>
        <b/>
        <vertAlign val="superscript"/>
        <sz val="14"/>
        <color theme="1"/>
        <rFont val="Arial"/>
      </rPr>
      <t>2</t>
    </r>
    <r>
      <rPr>
        <b/>
        <sz val="14"/>
        <color theme="1"/>
        <rFont val="Arial"/>
      </rPr>
      <t>)</t>
    </r>
    <r>
      <rPr>
        <b/>
        <sz val="14"/>
        <color theme="1"/>
        <rFont val="Symbol"/>
      </rPr>
      <t>;     p</t>
    </r>
    <r>
      <rPr>
        <b/>
        <sz val="14"/>
        <color theme="1"/>
        <rFont val="Arial"/>
      </rPr>
      <t>=3,142, ó bien:  PI().</t>
    </r>
  </si>
  <si>
    <r>
      <rPr>
        <b/>
        <sz val="12"/>
        <color theme="1"/>
        <rFont val="Arial"/>
      </rPr>
      <t xml:space="preserve">Para las columnas G y H: ver guión. </t>
    </r>
    <r>
      <rPr>
        <b/>
        <sz val="11"/>
        <color theme="1"/>
        <rFont val="Arial"/>
      </rPr>
      <t>Redondear como corresponde</t>
    </r>
    <r>
      <rPr>
        <b/>
        <sz val="12"/>
        <color theme="1"/>
        <rFont val="Arial"/>
      </rPr>
      <t>. Usar:</t>
    </r>
  </si>
  <si>
    <t xml:space="preserve">   RESUMEN</t>
  </si>
  <si>
    <t>!!!Leed con atención las instrucciones¡¡¡¡¡</t>
  </si>
  <si>
    <r>
      <rPr>
        <b/>
        <i/>
        <sz val="10"/>
        <color theme="1"/>
        <rFont val="Noto Sans Symbols"/>
      </rPr>
      <t>r</t>
    </r>
    <r>
      <rPr>
        <b/>
        <i/>
        <vertAlign val="superscript"/>
        <sz val="10"/>
        <color theme="1"/>
        <rFont val="Arial"/>
      </rPr>
      <t>H</t>
    </r>
    <r>
      <rPr>
        <b/>
        <sz val="10"/>
        <color theme="1"/>
        <rFont val="Arial"/>
      </rPr>
      <t>(g·cm</t>
    </r>
    <r>
      <rPr>
        <b/>
        <vertAlign val="superscript"/>
        <sz val="10"/>
        <color theme="1"/>
        <rFont val="Arial"/>
      </rPr>
      <t>-3</t>
    </r>
    <r>
      <rPr>
        <b/>
        <sz val="10"/>
        <color theme="1"/>
        <rFont val="Arial"/>
      </rPr>
      <t>)</t>
    </r>
  </si>
  <si>
    <r>
      <rPr>
        <b/>
        <sz val="10"/>
        <color theme="1"/>
        <rFont val="Noto Sans Symbols"/>
      </rPr>
      <t>d</t>
    </r>
    <r>
      <rPr>
        <b/>
        <i/>
        <sz val="10"/>
        <color theme="1"/>
        <rFont val="Symbol"/>
      </rPr>
      <t>r</t>
    </r>
    <r>
      <rPr>
        <b/>
        <i/>
        <vertAlign val="superscript"/>
        <sz val="10"/>
        <color theme="1"/>
        <rFont val="Arial"/>
      </rPr>
      <t>H</t>
    </r>
    <r>
      <rPr>
        <b/>
        <sz val="10"/>
        <color theme="1"/>
        <rFont val="Arial"/>
      </rPr>
      <t>(g·cm</t>
    </r>
    <r>
      <rPr>
        <b/>
        <vertAlign val="superscript"/>
        <sz val="10"/>
        <color theme="1"/>
        <rFont val="Arial"/>
      </rPr>
      <t>-3</t>
    </r>
    <r>
      <rPr>
        <b/>
        <sz val="10"/>
        <color theme="1"/>
        <rFont val="Arial"/>
      </rPr>
      <t>)</t>
    </r>
  </si>
  <si>
    <r>
      <rPr>
        <b/>
        <sz val="10"/>
        <color theme="1"/>
        <rFont val="Noto Sans Symbols"/>
      </rPr>
      <t>D</t>
    </r>
    <r>
      <rPr>
        <b/>
        <i/>
        <sz val="10"/>
        <color theme="1"/>
        <rFont val="Symbol"/>
      </rPr>
      <t>r</t>
    </r>
    <r>
      <rPr>
        <b/>
        <i/>
        <vertAlign val="superscript"/>
        <sz val="10"/>
        <color theme="1"/>
        <rFont val="Arial"/>
      </rPr>
      <t>H</t>
    </r>
    <r>
      <rPr>
        <b/>
        <sz val="10"/>
        <color theme="1"/>
        <rFont val="Symbol"/>
      </rPr>
      <t>(%)</t>
    </r>
  </si>
  <si>
    <r>
      <rPr>
        <b/>
        <i/>
        <sz val="10"/>
        <color theme="1"/>
        <rFont val="Noto Sans Symbols"/>
      </rPr>
      <t>r</t>
    </r>
    <r>
      <rPr>
        <b/>
        <i/>
        <vertAlign val="superscript"/>
        <sz val="10"/>
        <color theme="1"/>
        <rFont val="Arial"/>
      </rPr>
      <t>G</t>
    </r>
    <r>
      <rPr>
        <b/>
        <sz val="10"/>
        <color theme="1"/>
        <rFont val="Arial"/>
      </rPr>
      <t>(g·cm</t>
    </r>
    <r>
      <rPr>
        <b/>
        <vertAlign val="superscript"/>
        <sz val="10"/>
        <color theme="1"/>
        <rFont val="Arial"/>
      </rPr>
      <t>-3</t>
    </r>
    <r>
      <rPr>
        <b/>
        <sz val="10"/>
        <color theme="1"/>
        <rFont val="Arial"/>
      </rPr>
      <t>)</t>
    </r>
  </si>
  <si>
    <r>
      <rPr>
        <b/>
        <sz val="10"/>
        <color theme="1"/>
        <rFont val="Noto Sans Symbols"/>
      </rPr>
      <t>d</t>
    </r>
    <r>
      <rPr>
        <b/>
        <i/>
        <sz val="10"/>
        <color theme="1"/>
        <rFont val="Symbol"/>
      </rPr>
      <t>r</t>
    </r>
    <r>
      <rPr>
        <b/>
        <i/>
        <vertAlign val="superscript"/>
        <sz val="10"/>
        <color theme="1"/>
        <rFont val="Arial"/>
      </rPr>
      <t>G</t>
    </r>
    <r>
      <rPr>
        <b/>
        <sz val="10"/>
        <color theme="1"/>
        <rFont val="Arial"/>
      </rPr>
      <t>(g·cm</t>
    </r>
    <r>
      <rPr>
        <b/>
        <vertAlign val="superscript"/>
        <sz val="10"/>
        <color theme="1"/>
        <rFont val="Arial"/>
      </rPr>
      <t>-3</t>
    </r>
    <r>
      <rPr>
        <b/>
        <sz val="10"/>
        <color theme="1"/>
        <rFont val="Arial"/>
      </rPr>
      <t>)</t>
    </r>
  </si>
  <si>
    <r>
      <rPr>
        <b/>
        <sz val="10"/>
        <color theme="1"/>
        <rFont val="Noto Sans Symbols"/>
      </rPr>
      <t>D</t>
    </r>
    <r>
      <rPr>
        <b/>
        <i/>
        <sz val="10"/>
        <color theme="1"/>
        <rFont val="Symbol"/>
      </rPr>
      <t>r</t>
    </r>
    <r>
      <rPr>
        <b/>
        <i/>
        <vertAlign val="superscript"/>
        <sz val="10"/>
        <color theme="1"/>
        <rFont val="Arial"/>
      </rPr>
      <t>G</t>
    </r>
    <r>
      <rPr>
        <b/>
        <sz val="10"/>
        <color theme="1"/>
        <rFont val="Arial"/>
      </rPr>
      <t>(%)</t>
    </r>
  </si>
  <si>
    <t>Y(G)</t>
  </si>
  <si>
    <t>Y(H)</t>
  </si>
  <si>
    <t>VII(barra cuad.)</t>
  </si>
  <si>
    <t xml:space="preserve">VIII(alcohol) </t>
  </si>
  <si>
    <t>Ý</t>
  </si>
  <si>
    <t>valores de apoyo sólo para crear la gráfica</t>
  </si>
  <si>
    <r>
      <rPr>
        <b/>
        <sz val="11"/>
        <color theme="1"/>
        <rFont val="Arial"/>
      </rPr>
      <t xml:space="preserve">sustituir: </t>
    </r>
    <r>
      <rPr>
        <b/>
        <i/>
        <sz val="11"/>
        <color theme="1"/>
        <rFont val="Arial"/>
      </rPr>
      <t>placa 1</t>
    </r>
    <r>
      <rPr>
        <b/>
        <sz val="11"/>
        <color theme="1"/>
        <rFont val="Arial"/>
      </rPr>
      <t xml:space="preserve"> por: </t>
    </r>
    <r>
      <rPr>
        <b/>
        <i/>
        <sz val="11"/>
        <color theme="1"/>
        <rFont val="Arial"/>
      </rPr>
      <t>placa azul,</t>
    </r>
    <r>
      <rPr>
        <b/>
        <sz val="11"/>
        <color theme="1"/>
        <rFont val="Arial"/>
      </rPr>
      <t xml:space="preserve"> </t>
    </r>
    <r>
      <rPr>
        <b/>
        <i/>
        <sz val="11"/>
        <color theme="1"/>
        <rFont val="Arial"/>
      </rPr>
      <t>verde..</t>
    </r>
    <r>
      <rPr>
        <b/>
        <sz val="11"/>
        <color theme="1"/>
        <rFont val="Arial"/>
      </rPr>
      <t xml:space="preserve"> la que sea, etc..</t>
    </r>
  </si>
  <si>
    <t>Copiar de las hojas anteriores los datos respectivos con la opciòn :</t>
  </si>
  <si>
    <t xml:space="preserve"> "pegado especial/ formato de números  y valores"</t>
  </si>
  <si>
    <r>
      <rPr>
        <b/>
        <sz val="11"/>
        <color theme="1"/>
        <rFont val="Arial"/>
      </rPr>
      <t xml:space="preserve">El alcohol con sólo uno de los datos del hidrostático: </t>
    </r>
    <r>
      <rPr>
        <b/>
        <u/>
        <sz val="11"/>
        <color theme="1"/>
        <rFont val="Arial"/>
      </rPr>
      <t>el más preciso</t>
    </r>
  </si>
  <si>
    <t>1.-gráfica: insertar/gráfico/dispersión/primera opción; pestaña"serie"</t>
  </si>
  <si>
    <t xml:space="preserve">      Agregar:</t>
  </si>
  <si>
    <t xml:space="preserve">serie1: nombre: H; </t>
  </si>
  <si>
    <t xml:space="preserve">      (ver archivo: "Gráficas y tablas")</t>
  </si>
  <si>
    <t>2: Eje X: densidades: columna B;               eje Y: Y(H);  columna I.</t>
  </si>
  <si>
    <t>3.-Agregar:</t>
  </si>
  <si>
    <t xml:space="preserve">serie2: nombre: G; </t>
  </si>
  <si>
    <t xml:space="preserve">    eje X: columna E; </t>
  </si>
  <si>
    <t>Eje Y: col. H</t>
  </si>
  <si>
    <t>4.-En: "botón derecho/opciones de gráfico/ líneas de división, títulos, etc..:</t>
  </si>
  <si>
    <t>Agregar líneas de división verticales (de puntos)  y títulos de ejes:</t>
  </si>
  <si>
    <r>
      <rPr>
        <b/>
        <sz val="9"/>
        <color theme="1"/>
        <rFont val="Arial"/>
      </rPr>
      <t>eje X:</t>
    </r>
    <r>
      <rPr>
        <b/>
        <i/>
        <sz val="9"/>
        <color theme="1"/>
        <rFont val="Arial"/>
      </rPr>
      <t xml:space="preserve"> "</t>
    </r>
    <r>
      <rPr>
        <b/>
        <i/>
        <sz val="9"/>
        <color theme="1"/>
        <rFont val="Symbol"/>
      </rPr>
      <t>r</t>
    </r>
    <r>
      <rPr>
        <b/>
        <i/>
        <sz val="9"/>
        <color theme="1"/>
        <rFont val="Arial"/>
      </rPr>
      <t>/</t>
    </r>
    <r>
      <rPr>
        <b/>
        <sz val="9"/>
        <color theme="1"/>
        <rFont val="Arial"/>
      </rPr>
      <t>g·cm</t>
    </r>
    <r>
      <rPr>
        <b/>
        <vertAlign val="superscript"/>
        <sz val="9"/>
        <color theme="1"/>
        <rFont val="Arial"/>
      </rPr>
      <t>-3</t>
    </r>
    <r>
      <rPr>
        <b/>
        <i/>
        <sz val="9"/>
        <color theme="1"/>
        <rFont val="Arial"/>
      </rPr>
      <t>"</t>
    </r>
    <r>
      <rPr>
        <b/>
        <sz val="9"/>
        <color theme="1"/>
        <rFont val="Arial"/>
      </rPr>
      <t>(escribir primero: "r/g·cm-3" y después cambiar la "r" a symbol y el "-3" a superíndice)</t>
    </r>
    <r>
      <rPr>
        <sz val="9"/>
        <color theme="1"/>
        <rFont val="Arial"/>
      </rPr>
      <t>.</t>
    </r>
  </si>
  <si>
    <r>
      <rPr>
        <b/>
        <sz val="9"/>
        <color theme="1"/>
        <rFont val="Arial"/>
      </rPr>
      <t xml:space="preserve"> (seleccionar y botón derecho).               </t>
    </r>
    <r>
      <rPr>
        <b/>
        <sz val="10"/>
        <color theme="1"/>
        <rFont val="Arial"/>
      </rPr>
      <t>eje Y: "muestra".</t>
    </r>
  </si>
  <si>
    <t>5.-Barras de precisión en X: /formato de datos/ barras de error/personalizada/</t>
  </si>
  <si>
    <r>
      <rPr>
        <b/>
        <i/>
        <sz val="11"/>
        <color theme="1"/>
        <rFont val="Arial"/>
      </rPr>
      <t>columnas C y F respectivamente; ver: '</t>
    </r>
    <r>
      <rPr>
        <b/>
        <sz val="11"/>
        <color theme="1"/>
        <rFont val="Arial"/>
      </rPr>
      <t>gráficosy tablas', acceso directo en escritorio</t>
    </r>
  </si>
  <si>
    <r>
      <rPr>
        <b/>
        <sz val="14"/>
        <color theme="1"/>
        <rFont val="Arial"/>
      </rPr>
      <t xml:space="preserve">4.-(botón derecho) Ubicación: </t>
    </r>
    <r>
      <rPr>
        <b/>
        <i/>
        <sz val="14"/>
        <color theme="1"/>
        <rFont val="Arial"/>
      </rPr>
      <t>gráfico 1</t>
    </r>
  </si>
  <si>
    <t xml:space="preserve">      Incorporar esta tabla al informe junto con el gráfico 1</t>
  </si>
  <si>
    <t xml:space="preserve">    (sin los valores de apoyo)</t>
  </si>
  <si>
    <t xml:space="preserve">     REVISIÓN</t>
  </si>
  <si>
    <t xml:space="preserve">    1.-MÉTODO HIDROSTÁTIC0</t>
  </si>
  <si>
    <r>
      <rPr>
        <b/>
        <i/>
        <sz val="9"/>
        <color theme="1"/>
        <rFont val="Arial"/>
      </rPr>
      <t>M</t>
    </r>
    <r>
      <rPr>
        <b/>
        <vertAlign val="subscript"/>
        <sz val="9"/>
        <color theme="1"/>
        <rFont val="Arial"/>
      </rPr>
      <t>c</t>
    </r>
    <r>
      <rPr>
        <b/>
        <vertAlign val="subscript"/>
        <sz val="9"/>
        <color theme="1"/>
        <rFont val="Symbol"/>
      </rPr>
      <t>±</t>
    </r>
    <r>
      <rPr>
        <b/>
        <sz val="9"/>
        <color theme="1"/>
        <rFont val="Arial"/>
      </rPr>
      <t xml:space="preserve"> 0,01(g)</t>
    </r>
  </si>
  <si>
    <r>
      <rPr>
        <b/>
        <i/>
        <sz val="9"/>
        <color theme="1"/>
        <rFont val="Arial"/>
      </rPr>
      <t>M</t>
    </r>
    <r>
      <rPr>
        <b/>
        <vertAlign val="subscript"/>
        <sz val="9"/>
        <color theme="1"/>
        <rFont val="Arial"/>
      </rPr>
      <t>csa</t>
    </r>
    <r>
      <rPr>
        <b/>
        <sz val="9"/>
        <color theme="1"/>
        <rFont val="Arial"/>
      </rPr>
      <t>± 0,01</t>
    </r>
    <r>
      <rPr>
        <b/>
        <sz val="9"/>
        <color theme="1"/>
        <rFont val="Arial"/>
      </rPr>
      <t xml:space="preserve"> (g)</t>
    </r>
  </si>
  <si>
    <r>
      <rPr>
        <b/>
        <i/>
        <sz val="9"/>
        <color theme="1"/>
        <rFont val="Arial"/>
      </rPr>
      <t>M</t>
    </r>
    <r>
      <rPr>
        <b/>
        <vertAlign val="subscript"/>
        <sz val="9"/>
        <color theme="1"/>
        <rFont val="Arial"/>
      </rPr>
      <t>csal</t>
    </r>
    <r>
      <rPr>
        <b/>
        <sz val="9"/>
        <color theme="1"/>
        <rFont val="Arial"/>
      </rPr>
      <t>± 0,01</t>
    </r>
    <r>
      <rPr>
        <b/>
        <sz val="9"/>
        <color theme="1"/>
        <rFont val="Arial"/>
      </rPr>
      <t xml:space="preserve"> (g)</t>
    </r>
  </si>
  <si>
    <r>
      <rPr>
        <b/>
        <i/>
        <sz val="9"/>
        <color theme="1"/>
        <rFont val="Noto Sans Symbols"/>
      </rPr>
      <t>r</t>
    </r>
    <r>
      <rPr>
        <b/>
        <vertAlign val="superscript"/>
        <sz val="9"/>
        <color theme="1"/>
        <rFont val="Arial"/>
      </rPr>
      <t>H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</si>
  <si>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vertAlign val="superscript"/>
        <sz val="9"/>
        <color theme="1"/>
        <rFont val="Arial"/>
      </rPr>
      <t>H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</si>
  <si>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vertAlign val="superscript"/>
        <sz val="9"/>
        <color theme="1"/>
        <rFont val="Arial"/>
      </rPr>
      <t>H</t>
    </r>
    <r>
      <rPr>
        <b/>
        <sz val="9"/>
        <color theme="1"/>
        <rFont val="Symbol"/>
      </rPr>
      <t>(%)</t>
    </r>
  </si>
  <si>
    <t xml:space="preserve">  Recordar: </t>
  </si>
  <si>
    <t>xxx</t>
  </si>
  <si>
    <r>
      <rPr>
        <b/>
        <i/>
        <sz val="10"/>
        <color theme="1"/>
        <rFont val="Noto Sans Symbols"/>
      </rPr>
      <t xml:space="preserve">  r</t>
    </r>
    <r>
      <rPr>
        <b/>
        <vertAlign val="superscript"/>
        <sz val="10"/>
        <color theme="1"/>
        <rFont val="Arial"/>
      </rPr>
      <t>H</t>
    </r>
    <r>
      <rPr>
        <b/>
        <sz val="10"/>
        <color theme="1"/>
        <rFont val="Arial"/>
      </rPr>
      <t>=[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</t>
    </r>
    <r>
      <rPr>
        <b/>
        <sz val="10"/>
        <color theme="1"/>
        <rFont val="Arial"/>
      </rPr>
      <t>/(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</t>
    </r>
    <r>
      <rPr>
        <b/>
        <sz val="10"/>
        <color theme="1"/>
        <rFont val="Arial"/>
      </rPr>
      <t>-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csa</t>
    </r>
    <r>
      <rPr>
        <b/>
        <sz val="10"/>
        <color theme="1"/>
        <rFont val="Arial"/>
      </rPr>
      <t>)]</t>
    </r>
    <r>
      <rPr>
        <b/>
        <i/>
        <sz val="10"/>
        <color theme="1"/>
        <rFont val="Symbol"/>
      </rPr>
      <t>r</t>
    </r>
    <r>
      <rPr>
        <b/>
        <vertAlign val="subscript"/>
        <sz val="10"/>
        <color theme="1"/>
        <rFont val="Arial"/>
      </rPr>
      <t>agua</t>
    </r>
  </si>
  <si>
    <r>
      <rPr>
        <b/>
        <sz val="10"/>
        <color theme="1"/>
        <rFont val="Noto Sans Symbols"/>
      </rPr>
      <t xml:space="preserve">  d</t>
    </r>
    <r>
      <rPr>
        <b/>
        <i/>
        <sz val="10"/>
        <color theme="1"/>
        <rFont val="Symbol"/>
      </rPr>
      <t>r</t>
    </r>
    <r>
      <rPr>
        <b/>
        <vertAlign val="superscript"/>
        <sz val="10"/>
        <color theme="1"/>
        <rFont val="Arial"/>
      </rPr>
      <t>H</t>
    </r>
    <r>
      <rPr>
        <b/>
        <sz val="10"/>
        <color theme="1"/>
        <rFont val="Arial"/>
      </rPr>
      <t>=</t>
    </r>
    <r>
      <rPr>
        <b/>
        <i/>
        <sz val="10"/>
        <color theme="1"/>
        <rFont val="Symbol"/>
      </rPr>
      <t>r</t>
    </r>
    <r>
      <rPr>
        <b/>
        <vertAlign val="superscript"/>
        <sz val="10"/>
        <color theme="1"/>
        <rFont val="Arial"/>
      </rPr>
      <t>H</t>
    </r>
    <r>
      <rPr>
        <b/>
        <sz val="10"/>
        <color theme="1"/>
        <rFont val="Arial"/>
      </rPr>
      <t>[0,01/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</t>
    </r>
    <r>
      <rPr>
        <b/>
        <sz val="10"/>
        <color theme="1"/>
        <rFont val="Arial"/>
      </rPr>
      <t>+0,02/(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</t>
    </r>
    <r>
      <rPr>
        <b/>
        <sz val="10"/>
        <color theme="1"/>
        <rFont val="Arial"/>
      </rPr>
      <t>-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csa</t>
    </r>
    <r>
      <rPr>
        <b/>
        <sz val="10"/>
        <color theme="1"/>
        <rFont val="Arial"/>
      </rPr>
      <t>)+</t>
    </r>
    <r>
      <rPr>
        <b/>
        <sz val="10"/>
        <color theme="1"/>
        <rFont val="Symbol"/>
      </rPr>
      <t>d</t>
    </r>
    <r>
      <rPr>
        <b/>
        <i/>
        <sz val="10"/>
        <color theme="1"/>
        <rFont val="Symbol"/>
      </rPr>
      <t>r</t>
    </r>
    <r>
      <rPr>
        <b/>
        <vertAlign val="subscript"/>
        <sz val="10"/>
        <color theme="1"/>
        <rFont val="Arial"/>
      </rPr>
      <t>agua</t>
    </r>
    <r>
      <rPr>
        <b/>
        <sz val="10"/>
        <color theme="1"/>
        <rFont val="Arial"/>
      </rPr>
      <t>/</t>
    </r>
    <r>
      <rPr>
        <b/>
        <i/>
        <sz val="10"/>
        <color theme="1"/>
        <rFont val="Symbol"/>
      </rPr>
      <t>r</t>
    </r>
    <r>
      <rPr>
        <b/>
        <vertAlign val="subscript"/>
        <sz val="10"/>
        <color theme="1"/>
        <rFont val="Arial"/>
      </rPr>
      <t>agua</t>
    </r>
    <r>
      <rPr>
        <b/>
        <sz val="10"/>
        <color theme="1"/>
        <rFont val="Arial"/>
      </rPr>
      <t>]</t>
    </r>
  </si>
  <si>
    <t xml:space="preserve">  Para el alcohol algo distinto:</t>
  </si>
  <si>
    <r>
      <rPr>
        <b/>
        <i/>
        <sz val="10"/>
        <color theme="1"/>
        <rFont val="Noto Sans Symbols"/>
      </rPr>
      <t xml:space="preserve">  r</t>
    </r>
    <r>
      <rPr>
        <b/>
        <vertAlign val="subscript"/>
        <sz val="10"/>
        <color theme="1"/>
        <rFont val="Arial Narrow"/>
      </rPr>
      <t>al</t>
    </r>
    <r>
      <rPr>
        <b/>
        <vertAlign val="superscript"/>
        <sz val="10"/>
        <color theme="1"/>
        <rFont val="Arial Narrow"/>
      </rPr>
      <t>H</t>
    </r>
    <r>
      <rPr>
        <b/>
        <sz val="10"/>
        <color theme="1"/>
        <rFont val="Arial"/>
      </rPr>
      <t>=[(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</t>
    </r>
    <r>
      <rPr>
        <b/>
        <sz val="10"/>
        <color theme="1"/>
        <rFont val="Arial"/>
      </rPr>
      <t>-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csal</t>
    </r>
    <r>
      <rPr>
        <b/>
        <sz val="10"/>
        <color theme="1"/>
        <rFont val="Arial"/>
      </rPr>
      <t>)/(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</t>
    </r>
    <r>
      <rPr>
        <b/>
        <sz val="10"/>
        <color theme="1"/>
        <rFont val="Arial"/>
      </rPr>
      <t>-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csa</t>
    </r>
    <r>
      <rPr>
        <b/>
        <sz val="10"/>
        <color theme="1"/>
        <rFont val="Arial"/>
      </rPr>
      <t>)]</t>
    </r>
    <r>
      <rPr>
        <b/>
        <i/>
        <sz val="10"/>
        <color theme="1"/>
        <rFont val="Symbol"/>
      </rPr>
      <t>r</t>
    </r>
    <r>
      <rPr>
        <b/>
        <vertAlign val="subscript"/>
        <sz val="10"/>
        <color theme="1"/>
        <rFont val="Arial"/>
      </rPr>
      <t>agua</t>
    </r>
  </si>
  <si>
    <r>
      <rPr>
        <b/>
        <sz val="10"/>
        <color theme="1"/>
        <rFont val="Noto Sans Symbols"/>
      </rPr>
      <t xml:space="preserve">  d</t>
    </r>
    <r>
      <rPr>
        <b/>
        <i/>
        <sz val="10"/>
        <color theme="1"/>
        <rFont val="Symbol"/>
      </rPr>
      <t>r</t>
    </r>
    <r>
      <rPr>
        <b/>
        <vertAlign val="subscript"/>
        <sz val="10"/>
        <color theme="1"/>
        <rFont val="Arial Narrow"/>
      </rPr>
      <t>al</t>
    </r>
    <r>
      <rPr>
        <b/>
        <vertAlign val="superscript"/>
        <sz val="10"/>
        <color theme="1"/>
        <rFont val="Arial"/>
      </rPr>
      <t>H</t>
    </r>
    <r>
      <rPr>
        <b/>
        <sz val="10"/>
        <color theme="1"/>
        <rFont val="Arial"/>
      </rPr>
      <t>=</t>
    </r>
    <r>
      <rPr>
        <b/>
        <i/>
        <sz val="10"/>
        <color theme="1"/>
        <rFont val="Symbol"/>
      </rPr>
      <t>r</t>
    </r>
    <r>
      <rPr>
        <b/>
        <vertAlign val="subscript"/>
        <sz val="10"/>
        <color theme="1"/>
        <rFont val="Arial Narrow"/>
      </rPr>
      <t>al</t>
    </r>
    <r>
      <rPr>
        <b/>
        <vertAlign val="superscript"/>
        <sz val="10"/>
        <color theme="1"/>
        <rFont val="Arial"/>
      </rPr>
      <t>H</t>
    </r>
    <r>
      <rPr>
        <b/>
        <sz val="10"/>
        <color theme="1"/>
        <rFont val="Arial"/>
      </rPr>
      <t>[0,02/(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</t>
    </r>
    <r>
      <rPr>
        <b/>
        <sz val="10"/>
        <color theme="1"/>
        <rFont val="Arial"/>
      </rPr>
      <t>-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csal</t>
    </r>
    <r>
      <rPr>
        <b/>
        <sz val="10"/>
        <color theme="1"/>
        <rFont val="Arial"/>
      </rPr>
      <t>)+0,02/(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</t>
    </r>
    <r>
      <rPr>
        <b/>
        <sz val="10"/>
        <color theme="1"/>
        <rFont val="Arial"/>
      </rPr>
      <t>-</t>
    </r>
    <r>
      <rPr>
        <b/>
        <i/>
        <sz val="10"/>
        <color theme="1"/>
        <rFont val="Arial"/>
      </rPr>
      <t>M</t>
    </r>
    <r>
      <rPr>
        <b/>
        <vertAlign val="subscript"/>
        <sz val="10"/>
        <color theme="1"/>
        <rFont val="Arial"/>
      </rPr>
      <t>csa</t>
    </r>
    <r>
      <rPr>
        <b/>
        <sz val="10"/>
        <color theme="1"/>
        <rFont val="Arial"/>
      </rPr>
      <t>)+</t>
    </r>
    <r>
      <rPr>
        <b/>
        <sz val="10"/>
        <color theme="1"/>
        <rFont val="Symbol"/>
      </rPr>
      <t>d</t>
    </r>
    <r>
      <rPr>
        <b/>
        <i/>
        <sz val="10"/>
        <color theme="1"/>
        <rFont val="Symbol"/>
      </rPr>
      <t>r</t>
    </r>
    <r>
      <rPr>
        <b/>
        <vertAlign val="subscript"/>
        <sz val="10"/>
        <color theme="1"/>
        <rFont val="Arial"/>
      </rPr>
      <t>ag</t>
    </r>
    <r>
      <rPr>
        <b/>
        <sz val="10"/>
        <color theme="1"/>
        <rFont val="Arial"/>
      </rPr>
      <t>/</t>
    </r>
    <r>
      <rPr>
        <b/>
        <i/>
        <sz val="10"/>
        <color theme="1"/>
        <rFont val="Symbol"/>
      </rPr>
      <t>r</t>
    </r>
    <r>
      <rPr>
        <b/>
        <vertAlign val="subscript"/>
        <sz val="10"/>
        <color theme="1"/>
        <rFont val="Arial"/>
      </rPr>
      <t>ag</t>
    </r>
    <r>
      <rPr>
        <b/>
        <sz val="10"/>
        <color theme="1"/>
        <rFont val="Arial"/>
      </rPr>
      <t>]</t>
    </r>
  </si>
  <si>
    <r>
      <rPr>
        <b/>
        <i/>
        <sz val="10"/>
        <color theme="1"/>
        <rFont val="Noto Sans Symbols"/>
      </rPr>
      <t xml:space="preserve">  Dr</t>
    </r>
    <r>
      <rPr>
        <b/>
        <sz val="10"/>
        <color theme="1"/>
        <rFont val="Arial"/>
      </rPr>
      <t>(%)=100</t>
    </r>
    <r>
      <rPr>
        <b/>
        <sz val="10"/>
        <color theme="1"/>
        <rFont val="Symbol"/>
      </rPr>
      <t>d</t>
    </r>
    <r>
      <rPr>
        <b/>
        <i/>
        <sz val="10"/>
        <color theme="1"/>
        <rFont val="Symbol"/>
      </rPr>
      <t>r</t>
    </r>
    <r>
      <rPr>
        <b/>
        <sz val="10"/>
        <color theme="1"/>
        <rFont val="Symbol"/>
      </rPr>
      <t>/</t>
    </r>
    <r>
      <rPr>
        <b/>
        <i/>
        <sz val="10"/>
        <color theme="1"/>
        <rFont val="Symbol"/>
      </rPr>
      <t>r</t>
    </r>
  </si>
  <si>
    <r>
      <rPr>
        <b/>
        <sz val="9"/>
        <color theme="1"/>
        <rFont val="Arial"/>
      </rPr>
      <t>VII</t>
    </r>
    <r>
      <rPr>
        <b/>
        <sz val="8"/>
        <color theme="1"/>
        <rFont val="Arial"/>
      </rPr>
      <t>(barra cuad.)</t>
    </r>
  </si>
  <si>
    <r>
      <rPr>
        <b/>
        <i/>
        <sz val="10"/>
        <color theme="1"/>
        <rFont val="Arial"/>
      </rPr>
      <t xml:space="preserve">         Amarillo</t>
    </r>
    <r>
      <rPr>
        <b/>
        <sz val="10"/>
        <color theme="1"/>
        <rFont val="Arial"/>
      </rPr>
      <t xml:space="preserve">: DATOS.         </t>
    </r>
  </si>
  <si>
    <t>agua:</t>
  </si>
  <si>
    <r>
      <rPr>
        <b/>
        <i/>
        <sz val="9"/>
        <color theme="1"/>
        <rFont val="Arial"/>
      </rPr>
      <t>M</t>
    </r>
    <r>
      <rPr>
        <b/>
        <sz val="9"/>
        <color theme="1"/>
        <rFont val="Arial"/>
      </rPr>
      <t>±0,01(g)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</si>
  <si>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±0,2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</si>
  <si>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vertAlign val="subscript"/>
        <sz val="9"/>
        <color theme="1"/>
        <rFont val="Arial"/>
      </rPr>
      <t>agua</t>
    </r>
    <r>
      <rPr>
        <b/>
        <sz val="9"/>
        <color theme="1"/>
        <rFont val="Arial"/>
      </rPr>
      <t xml:space="preserve"> 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):</t>
    </r>
  </si>
  <si>
    <t xml:space="preserve">       Verde:   CÁLCULOS</t>
  </si>
  <si>
    <t>xxxx</t>
  </si>
  <si>
    <r>
      <rPr>
        <b/>
        <sz val="10"/>
        <color theme="1"/>
        <rFont val="Noto Sans Symbols"/>
      </rPr>
      <t>d</t>
    </r>
    <r>
      <rPr>
        <b/>
        <i/>
        <sz val="10"/>
        <color theme="1"/>
        <rFont val="Symbol"/>
      </rPr>
      <t>r</t>
    </r>
    <r>
      <rPr>
        <b/>
        <vertAlign val="subscript"/>
        <sz val="10"/>
        <color theme="1"/>
        <rFont val="Arial"/>
      </rPr>
      <t>agua</t>
    </r>
    <r>
      <rPr>
        <b/>
        <sz val="10"/>
        <color theme="1"/>
        <rFont val="Arial"/>
      </rPr>
      <t>(g·cm</t>
    </r>
    <r>
      <rPr>
        <b/>
        <vertAlign val="superscript"/>
        <sz val="10"/>
        <color theme="1"/>
        <rFont val="Arial"/>
      </rPr>
      <t>-3</t>
    </r>
    <r>
      <rPr>
        <b/>
        <sz val="10"/>
        <color theme="1"/>
        <rFont val="Arial"/>
      </rPr>
      <t>):</t>
    </r>
  </si>
  <si>
    <r>
      <rPr>
        <b/>
        <sz val="11"/>
        <color theme="1"/>
        <rFont val="Arial"/>
      </rPr>
      <t>¡¡Cuidado¡¡: ahora hay que poner el valor de la densidad del agua</t>
    </r>
    <r>
      <rPr>
        <b/>
        <u/>
        <sz val="11"/>
        <color theme="1"/>
        <rFont val="Arial"/>
      </rPr>
      <t xml:space="preserve"> calculado en la casilla E13 para hallar la densidad</t>
    </r>
  </si>
  <si>
    <r>
      <rPr>
        <b/>
        <sz val="11"/>
        <color theme="1"/>
        <rFont val="Arial"/>
      </rPr>
      <t xml:space="preserve"> en la casilla E4 (y siguientes): ya no será </t>
    </r>
    <r>
      <rPr>
        <b/>
        <u/>
        <sz val="11"/>
        <color theme="1"/>
        <rFont val="Arial"/>
      </rPr>
      <t>uno</t>
    </r>
    <r>
      <rPr>
        <b/>
        <sz val="11"/>
        <color theme="1"/>
        <rFont val="Arial"/>
      </rPr>
      <t>, en la mayor parte de los casos, (escribir el dato numérico tal cual  en E4)</t>
    </r>
  </si>
  <si>
    <t>Para hallar la precisión de  la casilla F4 (y ss.) hay que poner la precisión del agua calculada en E14 (ya no será 0,05).</t>
  </si>
  <si>
    <t>2.-MÉTODO GEOMÉTRICO</t>
  </si>
  <si>
    <r>
      <rPr>
        <b/>
        <i/>
        <sz val="12"/>
        <color theme="1"/>
        <rFont val="Arial"/>
      </rPr>
      <t xml:space="preserve">Media </t>
    </r>
    <r>
      <rPr>
        <b/>
        <sz val="12"/>
        <color theme="1"/>
        <rFont val="Arial"/>
      </rPr>
      <t>(=</t>
    </r>
    <r>
      <rPr>
        <b/>
        <i/>
        <sz val="12"/>
        <color theme="1"/>
        <rFont val="Arial"/>
      </rPr>
      <t>X</t>
    </r>
    <r>
      <rPr>
        <b/>
        <i/>
        <vertAlign val="subscript"/>
        <sz val="12"/>
        <color theme="1"/>
        <rFont val="Arial"/>
      </rPr>
      <t xml:space="preserve">m; </t>
    </r>
    <r>
      <rPr>
        <b/>
        <i/>
        <sz val="12"/>
        <color theme="1"/>
        <rFont val="Arial"/>
      </rPr>
      <t>X</t>
    </r>
    <r>
      <rPr>
        <b/>
        <sz val="12"/>
        <color theme="1"/>
        <rFont val="Symbol"/>
      </rPr>
      <t xml:space="preserve">º </t>
    </r>
    <r>
      <rPr>
        <b/>
        <i/>
        <sz val="12"/>
        <color theme="1"/>
        <rFont val="Arial"/>
      </rPr>
      <t>h,a,e,..)</t>
    </r>
    <r>
      <rPr>
        <b/>
        <sz val="12"/>
        <color theme="1"/>
        <rFont val="Arial"/>
      </rPr>
      <t xml:space="preserve">: programar en  B28: "promedio B25:B27"; </t>
    </r>
  </si>
  <si>
    <t xml:space="preserve"> A/Valores medios y desviación estadística</t>
  </si>
  <si>
    <r>
      <rPr>
        <b/>
        <sz val="12"/>
        <color theme="1"/>
        <rFont val="Arial"/>
      </rPr>
      <t xml:space="preserve"> (o seleccionar "promedio" en "</t>
    </r>
    <r>
      <rPr>
        <b/>
        <i/>
        <sz val="12"/>
        <color theme="1"/>
        <rFont val="Arial"/>
      </rPr>
      <t>fx</t>
    </r>
    <r>
      <rPr>
        <b/>
        <sz val="12"/>
        <color theme="1"/>
        <rFont val="Arial"/>
      </rPr>
      <t>":  arriba a la izquierda)</t>
    </r>
  </si>
  <si>
    <r>
      <rPr>
        <b/>
        <i/>
        <sz val="12"/>
        <color theme="1"/>
        <rFont val="Noto Sans Symbols"/>
      </rPr>
      <t>d</t>
    </r>
    <r>
      <rPr>
        <b/>
        <i/>
        <vertAlign val="subscript"/>
        <sz val="12"/>
        <color theme="1"/>
        <rFont val="Arial"/>
      </rPr>
      <t>ae</t>
    </r>
    <r>
      <rPr>
        <b/>
        <i/>
        <sz val="12"/>
        <color theme="1"/>
        <rFont val="Arial"/>
      </rPr>
      <t>X:</t>
    </r>
    <r>
      <rPr>
        <b/>
        <sz val="12"/>
        <color theme="1"/>
        <rFont val="Arial"/>
      </rPr>
      <t>máximo del par [</t>
    </r>
    <r>
      <rPr>
        <b/>
        <sz val="12"/>
        <color theme="1"/>
        <rFont val="Symbol"/>
      </rPr>
      <t>d</t>
    </r>
    <r>
      <rPr>
        <b/>
        <vertAlign val="subscript"/>
        <sz val="12"/>
        <color theme="1"/>
        <rFont val="Arial"/>
      </rPr>
      <t>a</t>
    </r>
    <r>
      <rPr>
        <b/>
        <i/>
        <sz val="12"/>
        <color theme="1"/>
        <rFont val="Arial"/>
      </rPr>
      <t>X</t>
    </r>
    <r>
      <rPr>
        <b/>
        <sz val="12"/>
        <color theme="1"/>
        <rFont val="Arial"/>
      </rPr>
      <t xml:space="preserve">, </t>
    </r>
    <r>
      <rPr>
        <b/>
        <sz val="12"/>
        <color theme="1"/>
        <rFont val="Symbol"/>
      </rPr>
      <t>d</t>
    </r>
    <r>
      <rPr>
        <b/>
        <vertAlign val="subscript"/>
        <sz val="12"/>
        <color theme="1"/>
        <rFont val="Arial"/>
      </rPr>
      <t>e</t>
    </r>
    <r>
      <rPr>
        <b/>
        <i/>
        <sz val="12"/>
        <color theme="1"/>
        <rFont val="Arial"/>
      </rPr>
      <t>X</t>
    </r>
    <r>
      <rPr>
        <b/>
        <sz val="12"/>
        <color theme="1"/>
        <rFont val="Arial"/>
      </rPr>
      <t xml:space="preserve">]; </t>
    </r>
    <r>
      <rPr>
        <b/>
        <sz val="12"/>
        <color theme="1"/>
        <rFont val="Symbol"/>
      </rPr>
      <t>d</t>
    </r>
    <r>
      <rPr>
        <b/>
        <vertAlign val="subscript"/>
        <sz val="12"/>
        <color theme="1"/>
        <rFont val="Arial"/>
      </rPr>
      <t>e</t>
    </r>
    <r>
      <rPr>
        <b/>
        <i/>
        <sz val="12"/>
        <color theme="1"/>
        <rFont val="Arial"/>
      </rPr>
      <t>X</t>
    </r>
    <r>
      <rPr>
        <b/>
        <sz val="12"/>
        <color theme="1"/>
        <rFont val="Arial"/>
      </rPr>
      <t xml:space="preserve">= precisión estadística:  </t>
    </r>
  </si>
  <si>
    <t>B</t>
  </si>
  <si>
    <t>C</t>
  </si>
  <si>
    <t>D</t>
  </si>
  <si>
    <t>E</t>
  </si>
  <si>
    <t>F</t>
  </si>
  <si>
    <t>G</t>
  </si>
  <si>
    <r>
      <rPr>
        <b/>
        <sz val="12"/>
        <color theme="1"/>
        <rFont val="Arial"/>
      </rPr>
      <t xml:space="preserve">  "desvest" en "</t>
    </r>
    <r>
      <rPr>
        <b/>
        <i/>
        <sz val="12"/>
        <color theme="1"/>
        <rFont val="Arial"/>
      </rPr>
      <t>fx"</t>
    </r>
    <r>
      <rPr>
        <b/>
        <sz val="12"/>
        <color theme="1"/>
        <rFont val="Arial"/>
      </rPr>
      <t xml:space="preserve">;     </t>
    </r>
    <r>
      <rPr>
        <b/>
        <sz val="12"/>
        <color theme="1"/>
        <rFont val="Symbol"/>
      </rPr>
      <t>d</t>
    </r>
    <r>
      <rPr>
        <b/>
        <vertAlign val="subscript"/>
        <sz val="12"/>
        <color theme="1"/>
        <rFont val="Arial"/>
      </rPr>
      <t>a</t>
    </r>
    <r>
      <rPr>
        <b/>
        <i/>
        <sz val="12"/>
        <color theme="1"/>
        <rFont val="Arial"/>
      </rPr>
      <t>X</t>
    </r>
    <r>
      <rPr>
        <b/>
        <sz val="12"/>
        <color theme="1"/>
        <rFont val="Arial"/>
      </rPr>
      <t>=precisión del calibre.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</si>
  <si>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</si>
  <si>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</si>
  <si>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a</t>
    </r>
    <r>
      <rPr>
        <b/>
        <sz val="9"/>
        <color theme="1"/>
        <rFont val="Arial"/>
      </rPr>
      <t xml:space="preserve"> 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</si>
  <si>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a</t>
    </r>
    <r>
      <rPr>
        <b/>
        <sz val="9"/>
        <color theme="1"/>
        <rFont val="Arial"/>
      </rPr>
      <t xml:space="preserve"> 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</si>
  <si>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</si>
  <si>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</si>
  <si>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t xml:space="preserve">Para ello: programar en C28: "=max(0,002;desvest(B25:B27))"; </t>
  </si>
  <si>
    <t>medida1</t>
  </si>
  <si>
    <t>REDONDEAR ambas (media y desvest).</t>
  </si>
  <si>
    <t>medida2</t>
  </si>
  <si>
    <t>Copiar luego el par (B28, C28) en (D28, E28)  y (F28, G28);</t>
  </si>
  <si>
    <t>medida3</t>
  </si>
  <si>
    <t>tirar para ello del par hacia la derecha (rellena  los otros dos pares)</t>
  </si>
  <si>
    <r>
      <rPr>
        <b/>
        <i/>
        <sz val="10"/>
        <color rgb="FF008000"/>
        <rFont val="Arial"/>
      </rPr>
      <t>X</t>
    </r>
    <r>
      <rPr>
        <b/>
        <vertAlign val="subscript"/>
        <sz val="10"/>
        <color rgb="FF008000"/>
        <rFont val="Arial"/>
      </rPr>
      <t>m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Symbol"/>
      </rPr>
      <t>ç</t>
    </r>
    <r>
      <rPr>
        <b/>
        <sz val="10"/>
        <color theme="1"/>
        <rFont val="Arial"/>
      </rPr>
      <t xml:space="preserve"> </t>
    </r>
    <r>
      <rPr>
        <b/>
        <sz val="10"/>
        <color rgb="FF00FF00"/>
        <rFont val="Symbol"/>
      </rPr>
      <t>d</t>
    </r>
    <r>
      <rPr>
        <b/>
        <vertAlign val="subscript"/>
        <sz val="10"/>
        <color rgb="FF00FF00"/>
        <rFont val="Arial"/>
      </rPr>
      <t>ae</t>
    </r>
    <r>
      <rPr>
        <b/>
        <i/>
        <sz val="10"/>
        <color rgb="FF00FF00"/>
        <rFont val="Arial"/>
      </rPr>
      <t xml:space="preserve">X </t>
    </r>
    <r>
      <rPr>
        <b/>
        <sz val="10"/>
        <color rgb="FF00FF00"/>
        <rFont val="Calibri"/>
      </rPr>
      <t>→</t>
    </r>
  </si>
  <si>
    <t xml:space="preserve">   después copiar TODA LA FILA 28 en la 34, 40, etc…</t>
  </si>
  <si>
    <t xml:space="preserve">  (con: "pegado especial/fórmulas")</t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</si>
  <si>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</si>
  <si>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</si>
  <si>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a</t>
    </r>
    <r>
      <rPr>
        <b/>
        <sz val="9"/>
        <color theme="1"/>
        <rFont val="Arial"/>
      </rPr>
      <t xml:space="preserve"> 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</si>
  <si>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a</t>
    </r>
    <r>
      <rPr>
        <b/>
        <sz val="9"/>
        <color theme="1"/>
        <rFont val="Arial"/>
      </rPr>
      <t xml:space="preserve"> 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</si>
  <si>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</si>
  <si>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</si>
  <si>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i/>
        <sz val="10"/>
        <color rgb="FF008000"/>
        <rFont val="Arial"/>
      </rPr>
      <t>X</t>
    </r>
    <r>
      <rPr>
        <b/>
        <vertAlign val="subscript"/>
        <sz val="10"/>
        <color rgb="FF008000"/>
        <rFont val="Arial"/>
      </rPr>
      <t>m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Symbol"/>
      </rPr>
      <t>ç</t>
    </r>
    <r>
      <rPr>
        <b/>
        <sz val="10"/>
        <color theme="1"/>
        <rFont val="Arial"/>
      </rPr>
      <t xml:space="preserve"> </t>
    </r>
    <r>
      <rPr>
        <b/>
        <sz val="10"/>
        <color rgb="FF00FF00"/>
        <rFont val="Symbol"/>
      </rPr>
      <t>d</t>
    </r>
    <r>
      <rPr>
        <b/>
        <vertAlign val="subscript"/>
        <sz val="10"/>
        <color rgb="FF00FF00"/>
        <rFont val="Arial"/>
      </rPr>
      <t>ae</t>
    </r>
    <r>
      <rPr>
        <b/>
        <i/>
        <sz val="10"/>
        <color rgb="FF00FF00"/>
        <rFont val="Arial"/>
      </rPr>
      <t xml:space="preserve">X </t>
    </r>
    <r>
      <rPr>
        <b/>
        <sz val="10"/>
        <color rgb="FF00FF00"/>
        <rFont val="Calibri"/>
      </rPr>
      <t>→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</si>
  <si>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</si>
  <si>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</si>
  <si>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a</t>
    </r>
    <r>
      <rPr>
        <b/>
        <sz val="9"/>
        <color theme="1"/>
        <rFont val="Arial"/>
      </rPr>
      <t xml:space="preserve"> 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</si>
  <si>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a</t>
    </r>
    <r>
      <rPr>
        <b/>
        <sz val="9"/>
        <color theme="1"/>
        <rFont val="Arial"/>
      </rPr>
      <t xml:space="preserve"> 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</si>
  <si>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</si>
  <si>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</si>
  <si>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i/>
        <sz val="10"/>
        <color rgb="FF008000"/>
        <rFont val="Arial"/>
      </rPr>
      <t>X</t>
    </r>
    <r>
      <rPr>
        <b/>
        <vertAlign val="subscript"/>
        <sz val="10"/>
        <color rgb="FF008000"/>
        <rFont val="Arial"/>
      </rPr>
      <t>m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Symbol"/>
      </rPr>
      <t>ç</t>
    </r>
    <r>
      <rPr>
        <b/>
        <sz val="10"/>
        <color theme="1"/>
        <rFont val="Arial"/>
      </rPr>
      <t xml:space="preserve"> </t>
    </r>
    <r>
      <rPr>
        <b/>
        <sz val="10"/>
        <color rgb="FF00FF00"/>
        <rFont val="Symbol"/>
      </rPr>
      <t>d</t>
    </r>
    <r>
      <rPr>
        <b/>
        <vertAlign val="subscript"/>
        <sz val="10"/>
        <color rgb="FF00FF00"/>
        <rFont val="Arial"/>
      </rPr>
      <t>ae</t>
    </r>
    <r>
      <rPr>
        <b/>
        <i/>
        <sz val="10"/>
        <color rgb="FF00FF00"/>
        <rFont val="Arial"/>
      </rPr>
      <t xml:space="preserve">X </t>
    </r>
    <r>
      <rPr>
        <b/>
        <sz val="10"/>
        <color rgb="FF00FF00"/>
        <rFont val="Calibri"/>
      </rPr>
      <t>→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</si>
  <si>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</si>
  <si>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</si>
  <si>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a</t>
    </r>
    <r>
      <rPr>
        <b/>
        <sz val="9"/>
        <color theme="1"/>
        <rFont val="Arial"/>
      </rPr>
      <t xml:space="preserve"> 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</si>
  <si>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a</t>
    </r>
    <r>
      <rPr>
        <b/>
        <sz val="9"/>
        <color theme="1"/>
        <rFont val="Arial"/>
      </rPr>
      <t xml:space="preserve"> 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</si>
  <si>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</si>
  <si>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</si>
  <si>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i/>
        <sz val="10"/>
        <color rgb="FF008000"/>
        <rFont val="Arial"/>
      </rPr>
      <t>X</t>
    </r>
    <r>
      <rPr>
        <b/>
        <vertAlign val="subscript"/>
        <sz val="10"/>
        <color rgb="FF008000"/>
        <rFont val="Arial"/>
      </rPr>
      <t>m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Symbol"/>
      </rPr>
      <t>ç</t>
    </r>
    <r>
      <rPr>
        <b/>
        <sz val="10"/>
        <color theme="1"/>
        <rFont val="Arial"/>
      </rPr>
      <t xml:space="preserve"> </t>
    </r>
    <r>
      <rPr>
        <b/>
        <sz val="10"/>
        <color rgb="FF00FF00"/>
        <rFont val="Symbol"/>
      </rPr>
      <t>d</t>
    </r>
    <r>
      <rPr>
        <b/>
        <vertAlign val="subscript"/>
        <sz val="10"/>
        <color rgb="FF00FF00"/>
        <rFont val="Arial"/>
      </rPr>
      <t>ae</t>
    </r>
    <r>
      <rPr>
        <b/>
        <i/>
        <sz val="10"/>
        <color rgb="FF00FF00"/>
        <rFont val="Arial"/>
      </rPr>
      <t xml:space="preserve">X </t>
    </r>
    <r>
      <rPr>
        <b/>
        <sz val="10"/>
        <color rgb="FF00FF00"/>
        <rFont val="Calibri"/>
      </rPr>
      <t>→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</si>
  <si>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</si>
  <si>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</si>
  <si>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D</t>
    </r>
    <r>
      <rPr>
        <b/>
        <sz val="9"/>
        <color theme="1"/>
        <rFont val="Arial"/>
      </rPr>
      <t xml:space="preserve"> 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</si>
  <si>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D</t>
    </r>
    <r>
      <rPr>
        <b/>
        <sz val="9"/>
        <color theme="1"/>
        <rFont val="Arial"/>
      </rPr>
      <t xml:space="preserve"> 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</si>
  <si>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</si>
  <si>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</si>
  <si>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i/>
        <sz val="10"/>
        <color rgb="FF008000"/>
        <rFont val="Arial"/>
      </rPr>
      <t>X</t>
    </r>
    <r>
      <rPr>
        <b/>
        <vertAlign val="subscript"/>
        <sz val="10"/>
        <color rgb="FF008000"/>
        <rFont val="Arial"/>
      </rPr>
      <t>m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Symbol"/>
      </rPr>
      <t>ç</t>
    </r>
    <r>
      <rPr>
        <b/>
        <sz val="10"/>
        <color theme="1"/>
        <rFont val="Arial"/>
      </rPr>
      <t xml:space="preserve"> </t>
    </r>
    <r>
      <rPr>
        <b/>
        <sz val="10"/>
        <color rgb="FF00FF00"/>
        <rFont val="Symbol"/>
      </rPr>
      <t>d</t>
    </r>
    <r>
      <rPr>
        <b/>
        <vertAlign val="subscript"/>
        <sz val="10"/>
        <color rgb="FF00FF00"/>
        <rFont val="Arial"/>
      </rPr>
      <t>ae</t>
    </r>
    <r>
      <rPr>
        <b/>
        <i/>
        <sz val="10"/>
        <color rgb="FF00FF00"/>
        <rFont val="Arial"/>
      </rPr>
      <t xml:space="preserve">X </t>
    </r>
    <r>
      <rPr>
        <b/>
        <sz val="10"/>
        <color rgb="FF00FF00"/>
        <rFont val="Calibri"/>
      </rPr>
      <t>→</t>
    </r>
  </si>
  <si>
    <t>a=</t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</si>
  <si>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</si>
  <si>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</si>
  <si>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D</t>
    </r>
    <r>
      <rPr>
        <b/>
        <sz val="9"/>
        <color theme="1"/>
        <rFont val="Arial"/>
      </rPr>
      <t xml:space="preserve"> 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</si>
  <si>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D</t>
    </r>
    <r>
      <rPr>
        <b/>
        <sz val="9"/>
        <color theme="1"/>
        <rFont val="Arial"/>
      </rPr>
      <t xml:space="preserve"> 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</si>
  <si>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</si>
  <si>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</si>
  <si>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i/>
        <sz val="10"/>
        <color rgb="FF008000"/>
        <rFont val="Arial"/>
      </rPr>
      <t>X</t>
    </r>
    <r>
      <rPr>
        <b/>
        <vertAlign val="subscript"/>
        <sz val="10"/>
        <color rgb="FF008000"/>
        <rFont val="Arial"/>
      </rPr>
      <t>m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Symbol"/>
      </rPr>
      <t>ç</t>
    </r>
    <r>
      <rPr>
        <b/>
        <sz val="10"/>
        <color theme="1"/>
        <rFont val="Arial"/>
      </rPr>
      <t xml:space="preserve"> </t>
    </r>
    <r>
      <rPr>
        <b/>
        <sz val="10"/>
        <color rgb="FF00FF00"/>
        <rFont val="Symbol"/>
      </rPr>
      <t>d</t>
    </r>
    <r>
      <rPr>
        <b/>
        <vertAlign val="subscript"/>
        <sz val="10"/>
        <color rgb="FF00FF00"/>
        <rFont val="Arial"/>
      </rPr>
      <t>ae</t>
    </r>
    <r>
      <rPr>
        <b/>
        <i/>
        <sz val="10"/>
        <color rgb="FF00FF00"/>
        <rFont val="Arial"/>
      </rPr>
      <t xml:space="preserve">X </t>
    </r>
    <r>
      <rPr>
        <b/>
        <sz val="10"/>
        <color rgb="FF00FF00"/>
        <rFont val="Calibri"/>
      </rPr>
      <t>→</t>
    </r>
  </si>
  <si>
    <r>
      <rPr>
        <b/>
        <sz val="10"/>
        <color theme="1"/>
        <rFont val="Arial"/>
      </rPr>
      <t>!!Atención: completar D53 y D59 =</t>
    </r>
    <r>
      <rPr>
        <b/>
        <sz val="10"/>
        <color theme="1"/>
        <rFont val="Symbol"/>
      </rPr>
      <t>p</t>
    </r>
    <r>
      <rPr>
        <b/>
        <sz val="10"/>
        <color theme="1"/>
        <rFont val="Arial"/>
      </rPr>
      <t>(</t>
    </r>
    <r>
      <rPr>
        <b/>
        <i/>
        <sz val="10"/>
        <color theme="1"/>
        <rFont val="Arial"/>
      </rPr>
      <t>D</t>
    </r>
    <r>
      <rPr>
        <b/>
        <sz val="10"/>
        <color theme="1"/>
        <rFont val="Arial"/>
      </rPr>
      <t>-</t>
    </r>
    <r>
      <rPr>
        <b/>
        <i/>
        <sz val="10"/>
        <color theme="1"/>
        <rFont val="Arial"/>
      </rPr>
      <t>e</t>
    </r>
    <r>
      <rPr>
        <b/>
        <sz val="10"/>
        <color theme="1"/>
        <rFont val="Arial"/>
      </rPr>
      <t>), y E53 y E59=</t>
    </r>
    <r>
      <rPr>
        <b/>
        <sz val="10"/>
        <color theme="1"/>
        <rFont val="Symbol"/>
      </rPr>
      <t>d</t>
    </r>
    <r>
      <rPr>
        <b/>
        <vertAlign val="subscript"/>
        <sz val="10"/>
        <color theme="1"/>
        <rFont val="Arial"/>
      </rPr>
      <t>a</t>
    </r>
    <r>
      <rPr>
        <b/>
        <i/>
        <sz val="10"/>
        <color theme="1"/>
        <rFont val="Arial"/>
      </rPr>
      <t>D</t>
    </r>
    <r>
      <rPr>
        <b/>
        <sz val="10"/>
        <color theme="1"/>
        <rFont val="Arial"/>
      </rPr>
      <t>+</t>
    </r>
    <r>
      <rPr>
        <b/>
        <sz val="10"/>
        <color theme="1"/>
        <rFont val="Symbol"/>
      </rPr>
      <t>d</t>
    </r>
    <r>
      <rPr>
        <b/>
        <vertAlign val="subscript"/>
        <sz val="10"/>
        <color theme="1"/>
        <rFont val="Arial"/>
      </rPr>
      <t>a</t>
    </r>
    <r>
      <rPr>
        <b/>
        <i/>
        <sz val="10"/>
        <color theme="1"/>
        <rFont val="Arial"/>
      </rPr>
      <t>e</t>
    </r>
    <r>
      <rPr>
        <b/>
        <sz val="10"/>
        <color theme="1"/>
        <rFont val="Arial"/>
      </rPr>
      <t xml:space="preserve"> !!</t>
    </r>
  </si>
  <si>
    <r>
      <rPr>
        <b/>
        <sz val="9"/>
        <color theme="1"/>
        <rFont val="Arial"/>
      </rPr>
      <t>VII</t>
    </r>
    <r>
      <rPr>
        <b/>
        <sz val="8"/>
        <color theme="1"/>
        <rFont val="Arial"/>
      </rPr>
      <t>(barra cuad.)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</si>
  <si>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</si>
  <si>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</si>
  <si>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a'</t>
    </r>
    <r>
      <rPr>
        <b/>
        <sz val="9"/>
        <color theme="1"/>
        <rFont val="Arial"/>
      </rPr>
      <t xml:space="preserve"> 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</si>
  <si>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a'</t>
    </r>
    <r>
      <rPr>
        <b/>
        <sz val="9"/>
        <color theme="1"/>
        <rFont val="Arial"/>
      </rPr>
      <t xml:space="preserve"> </t>
    </r>
    <r>
      <rPr>
        <b/>
        <sz val="9"/>
        <color theme="1"/>
        <rFont val="Arial"/>
      </rPr>
      <t>(cm)</t>
    </r>
  </si>
  <si>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</si>
  <si>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r>
      <rPr>
        <b/>
        <sz val="9"/>
        <color theme="1"/>
        <rFont val="Noto Sans Symbols"/>
      </rPr>
      <t>d</t>
    </r>
    <r>
      <rPr>
        <b/>
        <vertAlign val="subscript"/>
        <sz val="9"/>
        <color theme="1"/>
        <rFont val="Arial"/>
      </rPr>
      <t>a</t>
    </r>
    <r>
      <rPr>
        <b/>
        <i/>
        <sz val="9"/>
        <color theme="1"/>
        <rFont val="Arial"/>
      </rPr>
      <t>e</t>
    </r>
    <r>
      <rPr>
        <b/>
        <sz val="9"/>
        <color theme="1"/>
        <rFont val="Arial"/>
      </rPr>
      <t>(cm)</t>
    </r>
  </si>
  <si>
    <t>ver figuras en el guión -pag. 6 (mesa) ó 7(en pdf).</t>
  </si>
  <si>
    <r>
      <rPr>
        <b/>
        <i/>
        <sz val="10"/>
        <color rgb="FF008000"/>
        <rFont val="Arial"/>
      </rPr>
      <t>X</t>
    </r>
    <r>
      <rPr>
        <b/>
        <vertAlign val="subscript"/>
        <sz val="10"/>
        <color rgb="FF008000"/>
        <rFont val="Arial"/>
      </rPr>
      <t>m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Symbol"/>
      </rPr>
      <t>ç</t>
    </r>
    <r>
      <rPr>
        <b/>
        <sz val="10"/>
        <color theme="1"/>
        <rFont val="Arial"/>
      </rPr>
      <t xml:space="preserve"> </t>
    </r>
    <r>
      <rPr>
        <b/>
        <sz val="10"/>
        <color rgb="FF00FF00"/>
        <rFont val="Symbol"/>
      </rPr>
      <t>d</t>
    </r>
    <r>
      <rPr>
        <b/>
        <vertAlign val="subscript"/>
        <sz val="10"/>
        <color rgb="FF00FF00"/>
        <rFont val="Arial"/>
      </rPr>
      <t>ae</t>
    </r>
    <r>
      <rPr>
        <b/>
        <i/>
        <sz val="10"/>
        <color rgb="FF00FF00"/>
        <rFont val="Arial"/>
      </rPr>
      <t xml:space="preserve">X </t>
    </r>
    <r>
      <rPr>
        <b/>
        <sz val="10"/>
        <color rgb="FF00FF00"/>
        <rFont val="Calibri"/>
      </rPr>
      <t>→</t>
    </r>
  </si>
  <si>
    <r>
      <rPr>
        <b/>
        <sz val="10"/>
        <color theme="1"/>
        <rFont val="Arial"/>
      </rPr>
      <t>!!Atención: completar D65 =4(</t>
    </r>
    <r>
      <rPr>
        <b/>
        <i/>
        <sz val="10"/>
        <color theme="1"/>
        <rFont val="Arial"/>
      </rPr>
      <t>a</t>
    </r>
    <r>
      <rPr>
        <b/>
        <sz val="10"/>
        <color theme="1"/>
        <rFont val="Arial"/>
      </rPr>
      <t>'-</t>
    </r>
    <r>
      <rPr>
        <b/>
        <i/>
        <sz val="10"/>
        <color theme="1"/>
        <rFont val="Arial"/>
      </rPr>
      <t>e</t>
    </r>
    <r>
      <rPr>
        <b/>
        <sz val="10"/>
        <color theme="1"/>
        <rFont val="Arial"/>
      </rPr>
      <t>), y E65=</t>
    </r>
    <r>
      <rPr>
        <b/>
        <sz val="10"/>
        <color theme="1"/>
        <rFont val="Symbol"/>
      </rPr>
      <t>d</t>
    </r>
    <r>
      <rPr>
        <b/>
        <vertAlign val="subscript"/>
        <sz val="10"/>
        <color theme="1"/>
        <rFont val="Arial"/>
      </rPr>
      <t>a</t>
    </r>
    <r>
      <rPr>
        <b/>
        <i/>
        <sz val="10"/>
        <color theme="1"/>
        <rFont val="Arial"/>
      </rPr>
      <t>a</t>
    </r>
    <r>
      <rPr>
        <b/>
        <sz val="10"/>
        <color theme="1"/>
        <rFont val="Arial"/>
      </rPr>
      <t>'+</t>
    </r>
    <r>
      <rPr>
        <b/>
        <sz val="10"/>
        <color theme="1"/>
        <rFont val="Symbol"/>
      </rPr>
      <t>d</t>
    </r>
    <r>
      <rPr>
        <b/>
        <vertAlign val="subscript"/>
        <sz val="10"/>
        <color theme="1"/>
        <rFont val="Arial"/>
      </rPr>
      <t>a</t>
    </r>
    <r>
      <rPr>
        <b/>
        <i/>
        <sz val="10"/>
        <color theme="1"/>
        <rFont val="Arial"/>
      </rPr>
      <t xml:space="preserve">e </t>
    </r>
    <r>
      <rPr>
        <b/>
        <sz val="10"/>
        <color theme="1"/>
        <rFont val="Arial"/>
      </rPr>
      <t>!!</t>
    </r>
  </si>
  <si>
    <r>
      <rPr>
        <b/>
        <i/>
        <sz val="9"/>
        <color theme="1"/>
        <rFont val="Arial"/>
      </rPr>
      <t>M</t>
    </r>
    <r>
      <rPr>
        <b/>
        <sz val="9"/>
        <color theme="1"/>
        <rFont val="Arial"/>
      </rPr>
      <t>±0,01 (g)</t>
    </r>
  </si>
  <si>
    <r>
      <rPr>
        <b/>
        <i/>
        <sz val="9"/>
        <color theme="1"/>
        <rFont val="Arial"/>
      </rPr>
      <t>h</t>
    </r>
    <r>
      <rPr>
        <b/>
        <vertAlign val="subscript"/>
        <sz val="9"/>
        <color theme="1"/>
        <rFont val="Arial"/>
      </rPr>
      <t>1</t>
    </r>
    <r>
      <rPr>
        <b/>
        <sz val="9"/>
        <color theme="1"/>
        <rFont val="Arial"/>
      </rPr>
      <t>±0,002(cm)</t>
    </r>
  </si>
  <si>
    <r>
      <rPr>
        <b/>
        <i/>
        <sz val="9"/>
        <color theme="1"/>
        <rFont val="Arial"/>
      </rPr>
      <t>h</t>
    </r>
    <r>
      <rPr>
        <b/>
        <vertAlign val="subscript"/>
        <sz val="9"/>
        <color theme="1"/>
        <rFont val="Arial"/>
      </rPr>
      <t>2</t>
    </r>
    <r>
      <rPr>
        <b/>
        <sz val="9"/>
        <color theme="1"/>
        <rFont val="Arial"/>
      </rPr>
      <t>±0,002(cm)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</si>
  <si>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Arial"/>
      </rPr>
      <t>±0,004*(cm)</t>
    </r>
  </si>
  <si>
    <r>
      <rPr>
        <b/>
        <i/>
        <sz val="9"/>
        <color theme="1"/>
        <rFont val="Arial"/>
      </rPr>
      <t>D</t>
    </r>
    <r>
      <rPr>
        <b/>
        <i/>
        <vertAlign val="subscript"/>
        <sz val="9"/>
        <color theme="1"/>
        <rFont val="Arial"/>
      </rPr>
      <t>i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0,002(cm)</t>
    </r>
  </si>
  <si>
    <r>
      <rPr>
        <sz val="9"/>
        <color theme="1"/>
        <rFont val="Arial"/>
      </rPr>
      <t>*la altura tiene precisión doble al provenir de dos medidas (</t>
    </r>
    <r>
      <rPr>
        <sz val="9"/>
        <color theme="1"/>
        <rFont val="Symbol"/>
      </rPr>
      <t>d</t>
    </r>
    <r>
      <rPr>
        <i/>
        <sz val="9"/>
        <color theme="1"/>
        <rFont val="Arial"/>
      </rPr>
      <t>h</t>
    </r>
    <r>
      <rPr>
        <sz val="9"/>
        <color theme="1"/>
        <rFont val="Arial"/>
      </rPr>
      <t>=</t>
    </r>
    <r>
      <rPr>
        <sz val="9"/>
        <color theme="1"/>
        <rFont val="Symbol"/>
      </rPr>
      <t>d</t>
    </r>
    <r>
      <rPr>
        <i/>
        <sz val="9"/>
        <color theme="1"/>
        <rFont val="Arial"/>
      </rPr>
      <t>h</t>
    </r>
    <r>
      <rPr>
        <vertAlign val="subscript"/>
        <sz val="9"/>
        <color theme="1"/>
        <rFont val="Arial"/>
      </rPr>
      <t>1</t>
    </r>
    <r>
      <rPr>
        <sz val="9"/>
        <color theme="1"/>
        <rFont val="Arial"/>
      </rPr>
      <t>+</t>
    </r>
    <r>
      <rPr>
        <sz val="9"/>
        <color theme="1"/>
        <rFont val="Symbol"/>
      </rPr>
      <t>d</t>
    </r>
    <r>
      <rPr>
        <i/>
        <sz val="9"/>
        <color theme="1"/>
        <rFont val="Arial"/>
      </rPr>
      <t>h</t>
    </r>
    <r>
      <rPr>
        <vertAlign val="subscript"/>
        <sz val="9"/>
        <color theme="1"/>
        <rFont val="Arial"/>
      </rPr>
      <t>2</t>
    </r>
    <r>
      <rPr>
        <sz val="9"/>
        <color theme="1"/>
        <rFont val="Arial"/>
      </rPr>
      <t>)</t>
    </r>
  </si>
  <si>
    <t xml:space="preserve">        tablas no necesarias para el informe</t>
  </si>
  <si>
    <t xml:space="preserve">   TABLAS NO NECESARIAS PARA EL INFORME</t>
  </si>
  <si>
    <t>B/Cálculo de la densidad y la precisión</t>
  </si>
  <si>
    <r>
      <rPr>
        <b/>
        <sz val="12"/>
        <color theme="1"/>
        <rFont val="Arial"/>
      </rPr>
      <t xml:space="preserve">Copiar los valores medios anteriores de las longitudes y precisiones respectivas, </t>
    </r>
    <r>
      <rPr>
        <b/>
        <u/>
        <sz val="12"/>
        <color theme="1"/>
        <rFont val="Arial"/>
      </rPr>
      <t>FILA A FILA</t>
    </r>
    <r>
      <rPr>
        <b/>
        <sz val="12"/>
        <color theme="1"/>
        <rFont val="Arial"/>
      </rPr>
      <t xml:space="preserve">  con la opción:</t>
    </r>
  </si>
  <si>
    <t>"pegado especial/formato de números y valores"</t>
  </si>
  <si>
    <r>
      <rPr>
        <b/>
        <sz val="12"/>
        <color theme="1"/>
        <rFont val="Arial"/>
      </rPr>
      <t>La precisión  (</t>
    </r>
    <r>
      <rPr>
        <b/>
        <sz val="12"/>
        <color theme="1"/>
        <rFont val="Symbol"/>
      </rPr>
      <t>d</t>
    </r>
    <r>
      <rPr>
        <b/>
        <vertAlign val="subscript"/>
        <sz val="12"/>
        <color theme="1"/>
        <rFont val="Arial"/>
      </rPr>
      <t>ae</t>
    </r>
    <r>
      <rPr>
        <b/>
        <sz val="12"/>
        <color theme="1"/>
        <rFont val="Arial"/>
      </rPr>
      <t>X; en las columnas  D, F y H de la tabla que sigue),  es el máximo del par [</t>
    </r>
    <r>
      <rPr>
        <b/>
        <sz val="12"/>
        <color theme="1"/>
        <rFont val="Symbol"/>
      </rPr>
      <t>d</t>
    </r>
    <r>
      <rPr>
        <b/>
        <vertAlign val="subscript"/>
        <sz val="12"/>
        <color theme="1"/>
        <rFont val="Arial"/>
      </rPr>
      <t>e</t>
    </r>
    <r>
      <rPr>
        <b/>
        <i/>
        <sz val="12"/>
        <color theme="1"/>
        <rFont val="Arial"/>
      </rPr>
      <t>X</t>
    </r>
    <r>
      <rPr>
        <b/>
        <sz val="12"/>
        <color theme="1"/>
        <rFont val="Arial"/>
      </rPr>
      <t xml:space="preserve">, </t>
    </r>
    <r>
      <rPr>
        <b/>
        <sz val="12"/>
        <color theme="1"/>
        <rFont val="Symbol"/>
      </rPr>
      <t>d</t>
    </r>
    <r>
      <rPr>
        <b/>
        <vertAlign val="subscript"/>
        <sz val="12"/>
        <color theme="1"/>
        <rFont val="Arial"/>
      </rPr>
      <t>a</t>
    </r>
    <r>
      <rPr>
        <b/>
        <i/>
        <sz val="12"/>
        <color theme="1"/>
        <rFont val="Arial"/>
      </rPr>
      <t>X</t>
    </r>
    <r>
      <rPr>
        <b/>
        <sz val="12"/>
        <color theme="1"/>
        <rFont val="Arial"/>
      </rPr>
      <t xml:space="preserve">] ( </t>
    </r>
    <r>
      <rPr>
        <b/>
        <i/>
        <sz val="12"/>
        <color theme="1"/>
        <rFont val="Arial"/>
      </rPr>
      <t>X</t>
    </r>
    <r>
      <rPr>
        <b/>
        <sz val="12"/>
        <color theme="1"/>
        <rFont val="Symbol"/>
      </rPr>
      <t xml:space="preserve">º </t>
    </r>
    <r>
      <rPr>
        <b/>
        <i/>
        <sz val="12"/>
        <color theme="1"/>
        <rFont val="Arial"/>
      </rPr>
      <t>h,a</t>
    </r>
    <r>
      <rPr>
        <b/>
        <sz val="12"/>
        <color theme="1"/>
        <rFont val="Arial"/>
      </rPr>
      <t>,</t>
    </r>
    <r>
      <rPr>
        <b/>
        <i/>
        <sz val="12"/>
        <color theme="1"/>
        <rFont val="Arial"/>
      </rPr>
      <t>e</t>
    </r>
    <r>
      <rPr>
        <b/>
        <sz val="12"/>
        <color theme="1"/>
        <rFont val="Arial"/>
      </rPr>
      <t>,</t>
    </r>
    <r>
      <rPr>
        <b/>
        <i/>
        <sz val="12"/>
        <color theme="1"/>
        <rFont val="Arial"/>
      </rPr>
      <t>D</t>
    </r>
    <r>
      <rPr>
        <b/>
        <sz val="12"/>
        <color theme="1"/>
        <rFont val="Arial"/>
      </rPr>
      <t>,…):</t>
    </r>
  </si>
  <si>
    <t xml:space="preserve"> la estadística -casi siempre-, o la de aparato, según la que sea mayor. La función "max" anterior ya elige dicho valor máximo.      </t>
  </si>
  <si>
    <r>
      <rPr>
        <b/>
        <sz val="10"/>
        <color theme="1"/>
        <rFont val="Arial"/>
      </rPr>
      <t>¡OJO!: el valor de la anchura "a", hay que corregirlo para el anillo y arandela:  a=</t>
    </r>
    <r>
      <rPr>
        <b/>
        <sz val="10"/>
        <color theme="1"/>
        <rFont val="Symbol"/>
      </rPr>
      <t>p</t>
    </r>
    <r>
      <rPr>
        <b/>
        <sz val="10"/>
        <color theme="1"/>
        <rFont val="Arial"/>
      </rPr>
      <t>(D-e), y la barra hueca:  a=4(a´-e); operar en las casillas D53,D59 y D65.</t>
    </r>
  </si>
  <si>
    <r>
      <rPr>
        <b/>
        <sz val="12"/>
        <color theme="1"/>
        <rFont val="Arial"/>
      </rPr>
      <t>Por lo mismo, las imprecisiones respectivas serán:</t>
    </r>
    <r>
      <rPr>
        <b/>
        <sz val="12"/>
        <color theme="1"/>
        <rFont val="Symbol"/>
      </rPr>
      <t xml:space="preserve"> d</t>
    </r>
    <r>
      <rPr>
        <b/>
        <sz val="12"/>
        <color theme="1"/>
        <rFont val="Arial"/>
      </rPr>
      <t>a(anillo, aran.)=</t>
    </r>
    <r>
      <rPr>
        <b/>
        <sz val="12"/>
        <color theme="1"/>
        <rFont val="Symbol"/>
      </rPr>
      <t>d</t>
    </r>
    <r>
      <rPr>
        <b/>
        <i/>
        <sz val="12"/>
        <color theme="1"/>
        <rFont val="Arial"/>
      </rPr>
      <t>D</t>
    </r>
    <r>
      <rPr>
        <b/>
        <sz val="12"/>
        <color theme="1"/>
        <rFont val="Arial"/>
      </rPr>
      <t>+</t>
    </r>
    <r>
      <rPr>
        <b/>
        <sz val="12"/>
        <color theme="1"/>
        <rFont val="Symbol"/>
      </rPr>
      <t>d</t>
    </r>
    <r>
      <rPr>
        <b/>
        <sz val="12"/>
        <color theme="1"/>
        <rFont val="Arial"/>
      </rPr>
      <t xml:space="preserve">e y </t>
    </r>
    <r>
      <rPr>
        <b/>
        <sz val="12"/>
        <color theme="1"/>
        <rFont val="Symbol"/>
      </rPr>
      <t>d</t>
    </r>
    <r>
      <rPr>
        <b/>
        <sz val="12"/>
        <color theme="1"/>
        <rFont val="Arial"/>
      </rPr>
      <t>a(barra)=</t>
    </r>
    <r>
      <rPr>
        <b/>
        <sz val="12"/>
        <color theme="1"/>
        <rFont val="Symbol"/>
      </rPr>
      <t>d</t>
    </r>
    <r>
      <rPr>
        <b/>
        <sz val="12"/>
        <color theme="1"/>
        <rFont val="Arial"/>
      </rPr>
      <t>a'+</t>
    </r>
    <r>
      <rPr>
        <b/>
        <sz val="12"/>
        <color theme="1"/>
        <rFont val="Symbol"/>
      </rPr>
      <t>d</t>
    </r>
    <r>
      <rPr>
        <b/>
        <sz val="12"/>
        <color theme="1"/>
        <rFont val="Arial"/>
      </rPr>
      <t>e</t>
    </r>
  </si>
  <si>
    <r>
      <rPr>
        <b/>
        <sz val="12"/>
        <color theme="1"/>
        <rFont val="Arial"/>
      </rPr>
      <t>De esta forma, tanto la expresión de la densidad [</t>
    </r>
    <r>
      <rPr>
        <b/>
        <i/>
        <sz val="12"/>
        <color theme="1"/>
        <rFont val="Symbol"/>
      </rPr>
      <t>r</t>
    </r>
    <r>
      <rPr>
        <b/>
        <vertAlign val="superscript"/>
        <sz val="12"/>
        <color theme="1"/>
        <rFont val="Arial"/>
      </rPr>
      <t>G</t>
    </r>
    <r>
      <rPr>
        <b/>
        <sz val="12"/>
        <color theme="1"/>
        <rFont val="Arial"/>
      </rPr>
      <t>=</t>
    </r>
    <r>
      <rPr>
        <b/>
        <i/>
        <sz val="12"/>
        <color theme="1"/>
        <rFont val="Arial"/>
      </rPr>
      <t>M</t>
    </r>
    <r>
      <rPr>
        <b/>
        <sz val="12"/>
        <color theme="1"/>
        <rFont val="Arial"/>
      </rPr>
      <t>/(</t>
    </r>
    <r>
      <rPr>
        <b/>
        <i/>
        <sz val="12"/>
        <color theme="1"/>
        <rFont val="Arial"/>
      </rPr>
      <t>hae)</t>
    </r>
    <r>
      <rPr>
        <b/>
        <sz val="12"/>
        <color theme="1"/>
        <rFont val="Arial"/>
      </rPr>
      <t>], como su precisión [</t>
    </r>
    <r>
      <rPr>
        <b/>
        <sz val="12"/>
        <color theme="1"/>
        <rFont val="Symbol"/>
      </rPr>
      <t>d</t>
    </r>
    <r>
      <rPr>
        <b/>
        <i/>
        <sz val="12"/>
        <color theme="1"/>
        <rFont val="Symbol"/>
      </rPr>
      <t>r</t>
    </r>
    <r>
      <rPr>
        <b/>
        <sz val="12"/>
        <color theme="1"/>
        <rFont val="Arial"/>
      </rPr>
      <t>=</t>
    </r>
    <r>
      <rPr>
        <b/>
        <i/>
        <sz val="12"/>
        <color theme="1"/>
        <rFont val="Symbol"/>
      </rPr>
      <t>r</t>
    </r>
    <r>
      <rPr>
        <b/>
        <sz val="12"/>
        <color theme="1"/>
        <rFont val="Symbol"/>
      </rPr>
      <t>(d</t>
    </r>
    <r>
      <rPr>
        <b/>
        <vertAlign val="subscript"/>
        <sz val="12"/>
        <color theme="1"/>
        <rFont val="Arial"/>
      </rPr>
      <t>a</t>
    </r>
    <r>
      <rPr>
        <b/>
        <i/>
        <sz val="12"/>
        <color theme="1"/>
        <rFont val="Arial"/>
      </rPr>
      <t>M</t>
    </r>
    <r>
      <rPr>
        <b/>
        <sz val="12"/>
        <color theme="1"/>
        <rFont val="Arial"/>
      </rPr>
      <t>/</t>
    </r>
    <r>
      <rPr>
        <b/>
        <i/>
        <sz val="12"/>
        <color theme="1"/>
        <rFont val="Arial"/>
      </rPr>
      <t>M</t>
    </r>
    <r>
      <rPr>
        <b/>
        <sz val="12"/>
        <color theme="1"/>
        <rFont val="Arial"/>
      </rPr>
      <t>+</t>
    </r>
    <r>
      <rPr>
        <b/>
        <sz val="12"/>
        <color theme="1"/>
        <rFont val="Symbol"/>
      </rPr>
      <t>d</t>
    </r>
    <r>
      <rPr>
        <b/>
        <vertAlign val="subscript"/>
        <sz val="12"/>
        <color theme="1"/>
        <rFont val="Arial"/>
      </rPr>
      <t>a/e</t>
    </r>
    <r>
      <rPr>
        <b/>
        <i/>
        <sz val="12"/>
        <color theme="1"/>
        <rFont val="Arial"/>
      </rPr>
      <t>h/h</t>
    </r>
    <r>
      <rPr>
        <b/>
        <sz val="12"/>
        <color theme="1"/>
        <rFont val="Arial"/>
      </rPr>
      <t>+</t>
    </r>
    <r>
      <rPr>
        <b/>
        <sz val="12"/>
        <color theme="1"/>
        <rFont val="Symbol"/>
      </rPr>
      <t>d</t>
    </r>
    <r>
      <rPr>
        <b/>
        <vertAlign val="subscript"/>
        <sz val="12"/>
        <color theme="1"/>
        <rFont val="Arial"/>
      </rPr>
      <t>a/e</t>
    </r>
    <r>
      <rPr>
        <b/>
        <sz val="12"/>
        <color theme="1"/>
        <rFont val="Arial"/>
      </rPr>
      <t>a/a+</t>
    </r>
    <r>
      <rPr>
        <b/>
        <sz val="12"/>
        <color theme="1"/>
        <rFont val="Symbol"/>
      </rPr>
      <t>d</t>
    </r>
    <r>
      <rPr>
        <b/>
        <vertAlign val="subscript"/>
        <sz val="12"/>
        <color theme="1"/>
        <rFont val="Arial"/>
      </rPr>
      <t>a/e</t>
    </r>
    <r>
      <rPr>
        <b/>
        <sz val="12"/>
        <color theme="1"/>
        <rFont val="Arial"/>
      </rPr>
      <t xml:space="preserve">e/e)]; </t>
    </r>
  </si>
  <si>
    <r>
      <rPr>
        <b/>
        <sz val="11"/>
        <color theme="1"/>
        <rFont val="Arial"/>
      </rPr>
      <t xml:space="preserve">son idénticas para todas las muestras, </t>
    </r>
    <r>
      <rPr>
        <b/>
        <u/>
        <sz val="11"/>
        <color theme="1"/>
        <rFont val="Arial"/>
      </rPr>
      <t>excepto el alcohol</t>
    </r>
    <r>
      <rPr>
        <b/>
        <sz val="11"/>
        <color theme="1"/>
        <rFont val="Arial"/>
      </rPr>
      <t xml:space="preserve">:  </t>
    </r>
    <r>
      <rPr>
        <b/>
        <u/>
        <sz val="11"/>
        <color theme="1"/>
        <rFont val="Arial"/>
      </rPr>
      <t>[</t>
    </r>
    <r>
      <rPr>
        <b/>
        <i/>
        <sz val="11"/>
        <color theme="1"/>
        <rFont val="Symbol"/>
      </rPr>
      <t>r</t>
    </r>
    <r>
      <rPr>
        <b/>
        <vertAlign val="superscript"/>
        <sz val="11"/>
        <color theme="1"/>
        <rFont val="Arial"/>
      </rPr>
      <t>G</t>
    </r>
    <r>
      <rPr>
        <b/>
        <vertAlign val="subscript"/>
        <sz val="11"/>
        <color theme="1"/>
        <rFont val="Arial"/>
      </rPr>
      <t>alc</t>
    </r>
    <r>
      <rPr>
        <b/>
        <sz val="11"/>
        <color theme="1"/>
        <rFont val="Arial"/>
      </rPr>
      <t>= 4</t>
    </r>
    <r>
      <rPr>
        <b/>
        <i/>
        <sz val="11"/>
        <color theme="1"/>
        <rFont val="Arial"/>
      </rPr>
      <t>M</t>
    </r>
    <r>
      <rPr>
        <b/>
        <sz val="11"/>
        <color theme="1"/>
        <rFont val="Arial"/>
      </rPr>
      <t>/(</t>
    </r>
    <r>
      <rPr>
        <b/>
        <sz val="11"/>
        <color theme="1"/>
        <rFont val="Symbol"/>
      </rPr>
      <t>p</t>
    </r>
    <r>
      <rPr>
        <b/>
        <i/>
        <sz val="11"/>
        <color theme="1"/>
        <rFont val="Arial"/>
      </rPr>
      <t>D</t>
    </r>
    <r>
      <rPr>
        <b/>
        <vertAlign val="superscript"/>
        <sz val="11"/>
        <color theme="1"/>
        <rFont val="Arial"/>
      </rPr>
      <t>2</t>
    </r>
    <r>
      <rPr>
        <b/>
        <i/>
        <sz val="11"/>
        <color theme="1"/>
        <rFont val="Arial"/>
      </rPr>
      <t xml:space="preserve">h); </t>
    </r>
    <r>
      <rPr>
        <b/>
        <i/>
        <sz val="11"/>
        <color theme="1"/>
        <rFont val="Symbol"/>
      </rPr>
      <t>dr</t>
    </r>
    <r>
      <rPr>
        <b/>
        <i/>
        <vertAlign val="subscript"/>
        <sz val="11"/>
        <color theme="1"/>
        <rFont val="Arial Rounded MT Bold"/>
      </rPr>
      <t>alc</t>
    </r>
    <r>
      <rPr>
        <b/>
        <sz val="11"/>
        <color theme="1"/>
        <rFont val="Symbol"/>
      </rPr>
      <t>Þ (</t>
    </r>
    <r>
      <rPr>
        <b/>
        <i/>
        <sz val="11"/>
        <color theme="1"/>
        <rFont val="Arial"/>
      </rPr>
      <t xml:space="preserve">log-dif) = </t>
    </r>
    <r>
      <rPr>
        <b/>
        <i/>
        <sz val="11"/>
        <color theme="1"/>
        <rFont val="Symbol"/>
      </rPr>
      <t>r</t>
    </r>
    <r>
      <rPr>
        <b/>
        <vertAlign val="subscript"/>
        <sz val="11"/>
        <color theme="1"/>
        <rFont val="Arial"/>
      </rPr>
      <t>alc</t>
    </r>
    <r>
      <rPr>
        <b/>
        <sz val="11"/>
        <color theme="1"/>
        <rFont val="Arial"/>
      </rPr>
      <t>(</t>
    </r>
    <r>
      <rPr>
        <b/>
        <sz val="11"/>
        <color theme="1"/>
        <rFont val="Symbol"/>
      </rPr>
      <t>d</t>
    </r>
    <r>
      <rPr>
        <b/>
        <vertAlign val="subscript"/>
        <sz val="11"/>
        <color theme="1"/>
        <rFont val="Arial"/>
      </rPr>
      <t>a</t>
    </r>
    <r>
      <rPr>
        <b/>
        <i/>
        <sz val="11"/>
        <color theme="1"/>
        <rFont val="Arial"/>
      </rPr>
      <t>M/M+2</t>
    </r>
    <r>
      <rPr>
        <b/>
        <sz val="11"/>
        <color theme="1"/>
        <rFont val="Symbol"/>
      </rPr>
      <t>d</t>
    </r>
    <r>
      <rPr>
        <b/>
        <vertAlign val="subscript"/>
        <sz val="11"/>
        <color theme="1"/>
        <rFont val="Arial"/>
      </rPr>
      <t>a</t>
    </r>
    <r>
      <rPr>
        <b/>
        <i/>
        <sz val="11"/>
        <color theme="1"/>
        <rFont val="Arial"/>
      </rPr>
      <t>D/D+</t>
    </r>
    <r>
      <rPr>
        <b/>
        <i/>
        <sz val="11"/>
        <color theme="1"/>
        <rFont val="Symbol"/>
      </rPr>
      <t>d</t>
    </r>
    <r>
      <rPr>
        <b/>
        <vertAlign val="subscript"/>
        <sz val="11"/>
        <color theme="1"/>
        <rFont val="Arial"/>
      </rPr>
      <t>a</t>
    </r>
    <r>
      <rPr>
        <b/>
        <i/>
        <sz val="11"/>
        <color theme="1"/>
        <rFont val="Arial"/>
      </rPr>
      <t>h/h)</t>
    </r>
    <r>
      <rPr>
        <b/>
        <sz val="11"/>
        <color theme="1"/>
        <rFont val="Arial"/>
      </rPr>
      <t xml:space="preserve">];  </t>
    </r>
    <r>
      <rPr>
        <b/>
        <sz val="11"/>
        <color theme="1"/>
        <rFont val="Symbol"/>
      </rPr>
      <t>d</t>
    </r>
    <r>
      <rPr>
        <b/>
        <vertAlign val="subscript"/>
        <sz val="11"/>
        <color theme="1"/>
        <rFont val="Arial"/>
      </rPr>
      <t>a</t>
    </r>
    <r>
      <rPr>
        <b/>
        <i/>
        <sz val="11"/>
        <color theme="1"/>
        <rFont val="Arial"/>
      </rPr>
      <t>M</t>
    </r>
    <r>
      <rPr>
        <b/>
        <sz val="11"/>
        <color theme="1"/>
        <rFont val="Arial"/>
      </rPr>
      <t>=0,01g</t>
    </r>
  </si>
  <si>
    <t>A</t>
  </si>
  <si>
    <t>H</t>
  </si>
  <si>
    <t>I</t>
  </si>
  <si>
    <t>J</t>
  </si>
  <si>
    <t>K</t>
  </si>
  <si>
    <r>
      <rPr>
        <b/>
        <i/>
        <sz val="8"/>
        <color theme="1"/>
        <rFont val="Arial"/>
      </rPr>
      <t>M</t>
    </r>
    <r>
      <rPr>
        <b/>
        <i/>
        <vertAlign val="subscript"/>
        <sz val="8"/>
        <color theme="1"/>
        <rFont val="Arial"/>
      </rPr>
      <t>c</t>
    </r>
    <r>
      <rPr>
        <b/>
        <sz val="8"/>
        <color theme="1"/>
        <rFont val="Symbol"/>
      </rPr>
      <t>±</t>
    </r>
    <r>
      <rPr>
        <b/>
        <sz val="8"/>
        <color theme="1"/>
        <rFont val="Arial"/>
      </rPr>
      <t xml:space="preserve"> 0,01(g)</t>
    </r>
  </si>
  <si>
    <r>
      <rPr>
        <b/>
        <i/>
        <sz val="8"/>
        <color theme="1"/>
        <rFont val="Arial"/>
      </rPr>
      <t>h</t>
    </r>
    <r>
      <rPr>
        <b/>
        <sz val="8"/>
        <color theme="1"/>
        <rFont val="Arial"/>
      </rPr>
      <t>(cm)</t>
    </r>
  </si>
  <si>
    <r>
      <rPr>
        <b/>
        <sz val="8"/>
        <color theme="1"/>
        <rFont val="Noto Sans Symbols"/>
      </rPr>
      <t>d</t>
    </r>
    <r>
      <rPr>
        <b/>
        <vertAlign val="subscript"/>
        <sz val="8"/>
        <color theme="1"/>
        <rFont val="Arial"/>
      </rPr>
      <t>a/e</t>
    </r>
    <r>
      <rPr>
        <b/>
        <i/>
        <sz val="8"/>
        <color theme="1"/>
        <rFont val="Arial"/>
      </rPr>
      <t>h</t>
    </r>
    <r>
      <rPr>
        <b/>
        <sz val="8"/>
        <color theme="1"/>
        <rFont val="Arial"/>
      </rPr>
      <t>(cm)</t>
    </r>
  </si>
  <si>
    <r>
      <rPr>
        <b/>
        <i/>
        <sz val="8"/>
        <color theme="1"/>
        <rFont val="Arial"/>
      </rPr>
      <t>a</t>
    </r>
    <r>
      <rPr>
        <b/>
        <sz val="8"/>
        <color theme="1"/>
        <rFont val="Arial"/>
      </rPr>
      <t xml:space="preserve"> ó </t>
    </r>
    <r>
      <rPr>
        <b/>
        <i/>
        <sz val="8"/>
        <color theme="1"/>
        <rFont val="Arial"/>
      </rPr>
      <t>D</t>
    </r>
    <r>
      <rPr>
        <b/>
        <i/>
        <vertAlign val="subscript"/>
        <sz val="8"/>
        <color theme="1"/>
        <rFont val="Arial"/>
      </rPr>
      <t>i</t>
    </r>
    <r>
      <rPr>
        <b/>
        <i/>
        <sz val="8"/>
        <color theme="1"/>
        <rFont val="Arial"/>
      </rPr>
      <t>(</t>
    </r>
    <r>
      <rPr>
        <b/>
        <sz val="8"/>
        <color theme="1"/>
        <rFont val="Arial"/>
      </rPr>
      <t>*)(cm)</t>
    </r>
  </si>
  <si>
    <r>
      <rPr>
        <b/>
        <sz val="8"/>
        <color theme="1"/>
        <rFont val="Noto Sans Symbols"/>
      </rPr>
      <t>d</t>
    </r>
    <r>
      <rPr>
        <b/>
        <vertAlign val="subscript"/>
        <sz val="8"/>
        <color theme="1"/>
        <rFont val="Arial"/>
      </rPr>
      <t>a</t>
    </r>
    <r>
      <rPr>
        <b/>
        <vertAlign val="subscript"/>
        <sz val="8"/>
        <color theme="1"/>
        <rFont val="Symbol"/>
      </rPr>
      <t>/</t>
    </r>
    <r>
      <rPr>
        <b/>
        <vertAlign val="subscript"/>
        <sz val="8"/>
        <color theme="1"/>
        <rFont val="Arial"/>
      </rPr>
      <t>e</t>
    </r>
    <r>
      <rPr>
        <b/>
        <i/>
        <sz val="8"/>
        <color theme="1"/>
        <rFont val="Arial"/>
      </rPr>
      <t>a</t>
    </r>
    <r>
      <rPr>
        <b/>
        <sz val="8"/>
        <color theme="1"/>
        <rFont val="Arial"/>
      </rPr>
      <t xml:space="preserve"> (ó </t>
    </r>
    <r>
      <rPr>
        <b/>
        <i/>
        <sz val="8"/>
        <color theme="1"/>
        <rFont val="Arial"/>
      </rPr>
      <t>D</t>
    </r>
    <r>
      <rPr>
        <b/>
        <vertAlign val="subscript"/>
        <sz val="8"/>
        <color theme="1"/>
        <rFont val="Arial"/>
      </rPr>
      <t>i</t>
    </r>
    <r>
      <rPr>
        <b/>
        <sz val="8"/>
        <color theme="1"/>
        <rFont val="Arial"/>
      </rPr>
      <t>)(*)(</t>
    </r>
    <r>
      <rPr>
        <b/>
        <sz val="8"/>
        <color theme="1"/>
        <rFont val="Arial"/>
      </rPr>
      <t>cm)</t>
    </r>
  </si>
  <si>
    <r>
      <rPr>
        <b/>
        <i/>
        <sz val="8"/>
        <color theme="1"/>
        <rFont val="Arial"/>
      </rPr>
      <t>e</t>
    </r>
    <r>
      <rPr>
        <b/>
        <sz val="8"/>
        <color theme="1"/>
        <rFont val="Arial"/>
      </rPr>
      <t>(cm)</t>
    </r>
  </si>
  <si>
    <r>
      <rPr>
        <b/>
        <sz val="8"/>
        <color theme="1"/>
        <rFont val="Noto Sans Symbols"/>
      </rPr>
      <t>d</t>
    </r>
    <r>
      <rPr>
        <b/>
        <vertAlign val="subscript"/>
        <sz val="8"/>
        <color theme="1"/>
        <rFont val="Arial"/>
      </rPr>
      <t>a/e</t>
    </r>
    <r>
      <rPr>
        <b/>
        <i/>
        <sz val="8"/>
        <color theme="1"/>
        <rFont val="Arial"/>
      </rPr>
      <t>e</t>
    </r>
    <r>
      <rPr>
        <b/>
        <sz val="8"/>
        <color theme="1"/>
        <rFont val="Arial"/>
      </rPr>
      <t>(cm)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</si>
  <si>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</si>
  <si>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</si>
  <si>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</si>
  <si>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r>
      <rPr>
        <b/>
        <sz val="9"/>
        <color theme="1"/>
        <rFont val="Arial"/>
      </rPr>
      <t>VII</t>
    </r>
    <r>
      <rPr>
        <b/>
        <sz val="8"/>
        <color theme="1"/>
        <rFont val="Arial"/>
      </rPr>
      <t>(barra cuad.)</t>
    </r>
  </si>
  <si>
    <t>XXXX</t>
  </si>
  <si>
    <r>
      <rPr>
        <b/>
        <sz val="10"/>
        <color theme="1"/>
        <rFont val="Arial"/>
      </rPr>
      <t>(*) "</t>
    </r>
    <r>
      <rPr>
        <b/>
        <i/>
        <sz val="10"/>
        <color theme="1"/>
        <rFont val="Arial"/>
      </rPr>
      <t>D</t>
    </r>
    <r>
      <rPr>
        <b/>
        <vertAlign val="subscript"/>
        <sz val="10"/>
        <color theme="1"/>
        <rFont val="Arial"/>
      </rPr>
      <t>i</t>
    </r>
    <r>
      <rPr>
        <b/>
        <sz val="10"/>
        <color theme="1"/>
        <rFont val="Arial"/>
      </rPr>
      <t>" para el alcohol, "</t>
    </r>
    <r>
      <rPr>
        <b/>
        <i/>
        <sz val="10"/>
        <color theme="1"/>
        <rFont val="Arial"/>
      </rPr>
      <t>a</t>
    </r>
    <r>
      <rPr>
        <b/>
        <sz val="10"/>
        <color theme="1"/>
        <rFont val="Arial"/>
      </rPr>
      <t>" para el resto.</t>
    </r>
  </si>
  <si>
    <t>Comprobar que los resultados  son razonables, esto es:</t>
  </si>
  <si>
    <r>
      <rPr>
        <b/>
        <i/>
        <sz val="8"/>
        <color theme="1"/>
        <rFont val="Noto Sans Symbols"/>
      </rPr>
      <t>r</t>
    </r>
    <r>
      <rPr>
        <b/>
        <sz val="8"/>
        <color theme="1"/>
        <rFont val="Arial"/>
      </rPr>
      <t>(g·cm</t>
    </r>
    <r>
      <rPr>
        <b/>
        <vertAlign val="superscript"/>
        <sz val="8"/>
        <color theme="1"/>
        <rFont val="Arial"/>
      </rPr>
      <t>-3</t>
    </r>
    <r>
      <rPr>
        <b/>
        <i/>
        <sz val="8"/>
        <color theme="1"/>
        <rFont val="Arial"/>
      </rPr>
      <t>)</t>
    </r>
    <r>
      <rPr>
        <b/>
        <sz val="8"/>
        <color theme="1"/>
        <rFont val="Symbol"/>
      </rPr>
      <t>±</t>
    </r>
    <r>
      <rPr>
        <b/>
        <i/>
        <sz val="8"/>
        <color theme="1"/>
        <rFont val="Arial"/>
      </rPr>
      <t>5%</t>
    </r>
  </si>
  <si>
    <r>
      <rPr>
        <b/>
        <sz val="10"/>
        <color theme="1"/>
        <rFont val="Arial"/>
      </rPr>
      <t>valores de la densidad próximos a los esperados (tabla adjunta)</t>
    </r>
    <r>
      <rPr>
        <sz val="10"/>
        <color theme="1"/>
        <rFont val="Arial"/>
      </rPr>
      <t xml:space="preserve"> :</t>
    </r>
  </si>
  <si>
    <t>Plomo (verde)</t>
  </si>
  <si>
    <t>En caso contrario, revisar las operaciones y/o las medidas.</t>
  </si>
  <si>
    <t>Latón (dorado)</t>
  </si>
  <si>
    <t>Acero (arandela)</t>
  </si>
  <si>
    <t>Zamak (azul)</t>
  </si>
  <si>
    <t>Titanio (plateado)</t>
  </si>
  <si>
    <t>Aluminio (blanco)</t>
  </si>
  <si>
    <t>Plástico</t>
  </si>
  <si>
    <t>Alcohol</t>
  </si>
  <si>
    <t xml:space="preserve">  RESUMEN FINAL</t>
  </si>
  <si>
    <t>sesión 1-2</t>
  </si>
  <si>
    <r>
      <rPr>
        <b/>
        <sz val="12"/>
        <color theme="1"/>
        <rFont val="Arial"/>
      </rPr>
      <t xml:space="preserve">copiar de hoja 3 </t>
    </r>
    <r>
      <rPr>
        <b/>
        <i/>
        <sz val="12"/>
        <color theme="1"/>
        <rFont val="Arial"/>
      </rPr>
      <t>(copiado especial:</t>
    </r>
    <r>
      <rPr>
        <b/>
        <sz val="12"/>
        <color theme="1"/>
        <rFont val="Arial"/>
      </rPr>
      <t xml:space="preserve">  formato de números y valores)</t>
    </r>
  </si>
  <si>
    <r>
      <rPr>
        <b/>
        <i/>
        <sz val="11"/>
        <color theme="1"/>
        <rFont val="Noto Sans Symbols"/>
      </rPr>
      <t>r</t>
    </r>
    <r>
      <rPr>
        <b/>
        <i/>
        <vertAlign val="superscript"/>
        <sz val="11"/>
        <color theme="1"/>
        <rFont val="Arial"/>
      </rPr>
      <t>H</t>
    </r>
    <r>
      <rPr>
        <b/>
        <sz val="11"/>
        <color theme="1"/>
        <rFont val="Arial"/>
      </rPr>
      <t>(g·cm</t>
    </r>
    <r>
      <rPr>
        <b/>
        <vertAlign val="superscript"/>
        <sz val="11"/>
        <color theme="1"/>
        <rFont val="Arial"/>
      </rPr>
      <t>-3</t>
    </r>
    <r>
      <rPr>
        <b/>
        <sz val="11"/>
        <color theme="1"/>
        <rFont val="Arial"/>
      </rPr>
      <t>)</t>
    </r>
  </si>
  <si>
    <r>
      <rPr>
        <b/>
        <sz val="11"/>
        <color theme="1"/>
        <rFont val="Noto Sans Symbols"/>
      </rPr>
      <t>d</t>
    </r>
    <r>
      <rPr>
        <b/>
        <i/>
        <sz val="11"/>
        <color theme="1"/>
        <rFont val="Symbol"/>
      </rPr>
      <t>r</t>
    </r>
    <r>
      <rPr>
        <b/>
        <i/>
        <vertAlign val="superscript"/>
        <sz val="11"/>
        <color theme="1"/>
        <rFont val="Arial"/>
      </rPr>
      <t>H</t>
    </r>
    <r>
      <rPr>
        <b/>
        <sz val="11"/>
        <color theme="1"/>
        <rFont val="Arial"/>
      </rPr>
      <t>(g·cm</t>
    </r>
    <r>
      <rPr>
        <b/>
        <vertAlign val="superscript"/>
        <sz val="11"/>
        <color theme="1"/>
        <rFont val="Arial"/>
      </rPr>
      <t>-3</t>
    </r>
    <r>
      <rPr>
        <b/>
        <sz val="11"/>
        <color theme="1"/>
        <rFont val="Arial"/>
      </rPr>
      <t>)</t>
    </r>
  </si>
  <si>
    <r>
      <rPr>
        <b/>
        <sz val="11"/>
        <color theme="1"/>
        <rFont val="Noto Sans Symbols"/>
      </rPr>
      <t>D</t>
    </r>
    <r>
      <rPr>
        <b/>
        <i/>
        <sz val="11"/>
        <color theme="1"/>
        <rFont val="Symbol"/>
      </rPr>
      <t>r</t>
    </r>
    <r>
      <rPr>
        <b/>
        <i/>
        <vertAlign val="superscript"/>
        <sz val="11"/>
        <color theme="1"/>
        <rFont val="Arial"/>
      </rPr>
      <t>H</t>
    </r>
    <r>
      <rPr>
        <b/>
        <sz val="11"/>
        <color theme="1"/>
        <rFont val="Symbol"/>
      </rPr>
      <t>(%)</t>
    </r>
  </si>
  <si>
    <r>
      <rPr>
        <b/>
        <i/>
        <sz val="11"/>
        <color theme="1"/>
        <rFont val="Noto Sans Symbols"/>
      </rPr>
      <t>r</t>
    </r>
    <r>
      <rPr>
        <b/>
        <i/>
        <vertAlign val="superscript"/>
        <sz val="11"/>
        <color theme="1"/>
        <rFont val="Arial"/>
      </rPr>
      <t>G</t>
    </r>
    <r>
      <rPr>
        <b/>
        <sz val="11"/>
        <color theme="1"/>
        <rFont val="Arial"/>
      </rPr>
      <t>(g·cm</t>
    </r>
    <r>
      <rPr>
        <b/>
        <vertAlign val="superscript"/>
        <sz val="11"/>
        <color theme="1"/>
        <rFont val="Arial"/>
      </rPr>
      <t>-3</t>
    </r>
    <r>
      <rPr>
        <b/>
        <sz val="11"/>
        <color theme="1"/>
        <rFont val="Arial"/>
      </rPr>
      <t>)</t>
    </r>
  </si>
  <si>
    <r>
      <rPr>
        <b/>
        <sz val="11"/>
        <color theme="1"/>
        <rFont val="Noto Sans Symbols"/>
      </rPr>
      <t>d</t>
    </r>
    <r>
      <rPr>
        <b/>
        <i/>
        <sz val="11"/>
        <color theme="1"/>
        <rFont val="Symbol"/>
      </rPr>
      <t>r</t>
    </r>
    <r>
      <rPr>
        <b/>
        <i/>
        <vertAlign val="superscript"/>
        <sz val="11"/>
        <color theme="1"/>
        <rFont val="Arial"/>
      </rPr>
      <t>G</t>
    </r>
    <r>
      <rPr>
        <b/>
        <sz val="11"/>
        <color theme="1"/>
        <rFont val="Arial"/>
      </rPr>
      <t>(g·cm</t>
    </r>
    <r>
      <rPr>
        <b/>
        <vertAlign val="superscript"/>
        <sz val="11"/>
        <color theme="1"/>
        <rFont val="Arial"/>
      </rPr>
      <t>-3</t>
    </r>
    <r>
      <rPr>
        <b/>
        <sz val="11"/>
        <color theme="1"/>
        <rFont val="Arial"/>
      </rPr>
      <t>)</t>
    </r>
  </si>
  <si>
    <r>
      <rPr>
        <b/>
        <sz val="11"/>
        <color theme="1"/>
        <rFont val="Noto Sans Symbols"/>
      </rPr>
      <t>D</t>
    </r>
    <r>
      <rPr>
        <b/>
        <i/>
        <sz val="11"/>
        <color theme="1"/>
        <rFont val="Symbol"/>
      </rPr>
      <t>r</t>
    </r>
    <r>
      <rPr>
        <b/>
        <i/>
        <vertAlign val="superscript"/>
        <sz val="11"/>
        <color theme="1"/>
        <rFont val="Arial"/>
      </rPr>
      <t>G</t>
    </r>
    <r>
      <rPr>
        <b/>
        <sz val="11"/>
        <color theme="1"/>
        <rFont val="Arial"/>
      </rPr>
      <t>(%)</t>
    </r>
  </si>
  <si>
    <t>Y(G1)</t>
  </si>
  <si>
    <t>Y(H1)</t>
  </si>
  <si>
    <t>I(placa1)</t>
  </si>
  <si>
    <t>II(placa2)</t>
  </si>
  <si>
    <t>III(placa3)</t>
  </si>
  <si>
    <t>IV(placa4)</t>
  </si>
  <si>
    <t>V(anillo)</t>
  </si>
  <si>
    <t>VI(arandela)</t>
  </si>
  <si>
    <t>VII(barra cua.)</t>
  </si>
  <si>
    <r>
      <rPr>
        <b/>
        <sz val="10"/>
        <color theme="1"/>
        <rFont val="Arial"/>
      </rPr>
      <t xml:space="preserve"> el alcohol sólo con el valor de uno de los sólidos para no amontonar datos:   </t>
    </r>
    <r>
      <rPr>
        <b/>
        <i/>
        <u/>
        <sz val="10"/>
        <color theme="1"/>
        <rFont val="Arial"/>
      </rPr>
      <t>el más preciso</t>
    </r>
  </si>
  <si>
    <t>sesión 3</t>
  </si>
  <si>
    <t>copiar de hoja 4.</t>
  </si>
  <si>
    <r>
      <rPr>
        <b/>
        <i/>
        <sz val="11"/>
        <color theme="1"/>
        <rFont val="Noto Sans Symbols"/>
      </rPr>
      <t>r</t>
    </r>
    <r>
      <rPr>
        <b/>
        <i/>
        <vertAlign val="superscript"/>
        <sz val="11"/>
        <color theme="1"/>
        <rFont val="Arial"/>
      </rPr>
      <t>H</t>
    </r>
    <r>
      <rPr>
        <b/>
        <sz val="11"/>
        <color theme="1"/>
        <rFont val="Arial"/>
      </rPr>
      <t>(g·cm</t>
    </r>
    <r>
      <rPr>
        <b/>
        <vertAlign val="superscript"/>
        <sz val="11"/>
        <color theme="1"/>
        <rFont val="Arial"/>
      </rPr>
      <t>-3</t>
    </r>
    <r>
      <rPr>
        <b/>
        <sz val="11"/>
        <color theme="1"/>
        <rFont val="Arial"/>
      </rPr>
      <t>)</t>
    </r>
  </si>
  <si>
    <r>
      <rPr>
        <b/>
        <sz val="11"/>
        <color theme="1"/>
        <rFont val="Noto Sans Symbols"/>
      </rPr>
      <t>d</t>
    </r>
    <r>
      <rPr>
        <b/>
        <i/>
        <sz val="11"/>
        <color theme="1"/>
        <rFont val="Symbol"/>
      </rPr>
      <t>r</t>
    </r>
    <r>
      <rPr>
        <b/>
        <i/>
        <vertAlign val="superscript"/>
        <sz val="11"/>
        <color theme="1"/>
        <rFont val="Arial"/>
      </rPr>
      <t>H</t>
    </r>
    <r>
      <rPr>
        <b/>
        <sz val="11"/>
        <color theme="1"/>
        <rFont val="Arial"/>
      </rPr>
      <t>(g·cm</t>
    </r>
    <r>
      <rPr>
        <b/>
        <vertAlign val="superscript"/>
        <sz val="11"/>
        <color theme="1"/>
        <rFont val="Arial"/>
      </rPr>
      <t>-3</t>
    </r>
    <r>
      <rPr>
        <b/>
        <sz val="11"/>
        <color theme="1"/>
        <rFont val="Arial"/>
      </rPr>
      <t>)</t>
    </r>
  </si>
  <si>
    <r>
      <rPr>
        <b/>
        <sz val="11"/>
        <color theme="1"/>
        <rFont val="Noto Sans Symbols"/>
      </rPr>
      <t>D</t>
    </r>
    <r>
      <rPr>
        <b/>
        <i/>
        <sz val="11"/>
        <color theme="1"/>
        <rFont val="Symbol"/>
      </rPr>
      <t>r</t>
    </r>
    <r>
      <rPr>
        <b/>
        <i/>
        <vertAlign val="superscript"/>
        <sz val="11"/>
        <color theme="1"/>
        <rFont val="Arial"/>
      </rPr>
      <t>H</t>
    </r>
    <r>
      <rPr>
        <b/>
        <sz val="11"/>
        <color theme="1"/>
        <rFont val="Symbol"/>
      </rPr>
      <t>(%)</t>
    </r>
  </si>
  <si>
    <r>
      <rPr>
        <b/>
        <i/>
        <sz val="11"/>
        <color theme="1"/>
        <rFont val="Noto Sans Symbols"/>
      </rPr>
      <t>r</t>
    </r>
    <r>
      <rPr>
        <b/>
        <i/>
        <vertAlign val="superscript"/>
        <sz val="11"/>
        <color theme="1"/>
        <rFont val="Arial"/>
      </rPr>
      <t>G</t>
    </r>
    <r>
      <rPr>
        <b/>
        <sz val="11"/>
        <color theme="1"/>
        <rFont val="Arial"/>
      </rPr>
      <t>(g·cm</t>
    </r>
    <r>
      <rPr>
        <b/>
        <vertAlign val="superscript"/>
        <sz val="11"/>
        <color theme="1"/>
        <rFont val="Arial"/>
      </rPr>
      <t>-3</t>
    </r>
    <r>
      <rPr>
        <b/>
        <sz val="11"/>
        <color theme="1"/>
        <rFont val="Arial"/>
      </rPr>
      <t>)</t>
    </r>
  </si>
  <si>
    <r>
      <rPr>
        <b/>
        <sz val="11"/>
        <color theme="1"/>
        <rFont val="Noto Sans Symbols"/>
      </rPr>
      <t>d</t>
    </r>
    <r>
      <rPr>
        <b/>
        <i/>
        <sz val="11"/>
        <color theme="1"/>
        <rFont val="Symbol"/>
      </rPr>
      <t>r</t>
    </r>
    <r>
      <rPr>
        <b/>
        <i/>
        <vertAlign val="superscript"/>
        <sz val="11"/>
        <color theme="1"/>
        <rFont val="Arial"/>
      </rPr>
      <t>G</t>
    </r>
    <r>
      <rPr>
        <b/>
        <sz val="11"/>
        <color theme="1"/>
        <rFont val="Arial"/>
      </rPr>
      <t>(g·cm</t>
    </r>
    <r>
      <rPr>
        <b/>
        <vertAlign val="superscript"/>
        <sz val="11"/>
        <color theme="1"/>
        <rFont val="Arial"/>
      </rPr>
      <t>-3</t>
    </r>
    <r>
      <rPr>
        <b/>
        <sz val="11"/>
        <color theme="1"/>
        <rFont val="Arial"/>
      </rPr>
      <t>)</t>
    </r>
  </si>
  <si>
    <r>
      <rPr>
        <b/>
        <sz val="11"/>
        <color theme="1"/>
        <rFont val="Noto Sans Symbols"/>
      </rPr>
      <t>D</t>
    </r>
    <r>
      <rPr>
        <b/>
        <i/>
        <sz val="11"/>
        <color theme="1"/>
        <rFont val="Symbol"/>
      </rPr>
      <t>r</t>
    </r>
    <r>
      <rPr>
        <b/>
        <i/>
        <vertAlign val="superscript"/>
        <sz val="11"/>
        <color theme="1"/>
        <rFont val="Arial"/>
      </rPr>
      <t>G</t>
    </r>
    <r>
      <rPr>
        <b/>
        <sz val="11"/>
        <color theme="1"/>
        <rFont val="Symbol"/>
      </rPr>
      <t>(%)</t>
    </r>
  </si>
  <si>
    <t>Y(G2)</t>
  </si>
  <si>
    <t>Y(H2)</t>
  </si>
  <si>
    <t xml:space="preserve">  valores de apoyo sólo para crear la gráfica</t>
  </si>
  <si>
    <r>
      <rPr>
        <b/>
        <i/>
        <sz val="11"/>
        <color theme="1"/>
        <rFont val="Arial"/>
      </rPr>
      <t>gráfica</t>
    </r>
    <r>
      <rPr>
        <b/>
        <sz val="11"/>
        <color theme="1"/>
        <rFont val="Arial"/>
      </rPr>
      <t xml:space="preserve">: insertar-gráfico-dispersión, puntos [ver: </t>
    </r>
    <r>
      <rPr>
        <b/>
        <i/>
        <sz val="11"/>
        <color theme="1"/>
        <rFont val="Arial"/>
      </rPr>
      <t>gráficas y tablas</t>
    </r>
    <r>
      <rPr>
        <b/>
        <sz val="11"/>
        <color theme="1"/>
        <rFont val="Arial"/>
      </rPr>
      <t>]</t>
    </r>
  </si>
  <si>
    <r>
      <rPr>
        <b/>
        <i/>
        <sz val="11"/>
        <color theme="1"/>
        <rFont val="Arial"/>
      </rPr>
      <t>serie 1</t>
    </r>
    <r>
      <rPr>
        <b/>
        <sz val="11"/>
        <color theme="1"/>
        <rFont val="Arial"/>
      </rPr>
      <t xml:space="preserve">: G1; serie 2: H1; serie 3: G2; serie 4: H2 </t>
    </r>
  </si>
  <si>
    <r>
      <rPr>
        <b/>
        <i/>
        <sz val="11"/>
        <color theme="1"/>
        <rFont val="Arial"/>
      </rPr>
      <t xml:space="preserve">datos X: </t>
    </r>
    <r>
      <rPr>
        <b/>
        <sz val="11"/>
        <color theme="1"/>
        <rFont val="Arial"/>
      </rPr>
      <t xml:space="preserve"> densidades;</t>
    </r>
    <r>
      <rPr>
        <b/>
        <i/>
        <sz val="11"/>
        <color theme="1"/>
        <rFont val="Arial"/>
      </rPr>
      <t xml:space="preserve"> datos Y:</t>
    </r>
    <r>
      <rPr>
        <b/>
        <sz val="11"/>
        <color theme="1"/>
        <rFont val="Arial"/>
      </rPr>
      <t xml:space="preserve"> valores respectivos de apoyo </t>
    </r>
  </si>
  <si>
    <r>
      <rPr>
        <b/>
        <sz val="11"/>
        <color theme="1"/>
        <rFont val="Arial"/>
      </rPr>
      <t xml:space="preserve">barras de precisión en X </t>
    </r>
    <r>
      <rPr>
        <b/>
        <sz val="11"/>
        <color theme="1"/>
        <rFont val="Symbol"/>
      </rPr>
      <t>(</t>
    </r>
    <r>
      <rPr>
        <b/>
        <sz val="11"/>
        <color theme="1"/>
        <rFont val="Arial"/>
      </rPr>
      <t>que corresponden a</t>
    </r>
    <r>
      <rPr>
        <b/>
        <sz val="11"/>
        <color theme="1"/>
        <rFont val="Symbol"/>
      </rPr>
      <t xml:space="preserve"> d</t>
    </r>
    <r>
      <rPr>
        <b/>
        <i/>
        <sz val="11"/>
        <color theme="1"/>
        <rFont val="Symbol"/>
      </rPr>
      <t>r</t>
    </r>
    <r>
      <rPr>
        <b/>
        <sz val="11"/>
        <color theme="1"/>
        <rFont val="Arial"/>
      </rPr>
      <t>):</t>
    </r>
  </si>
  <si>
    <t xml:space="preserve"> "formato de serie de datos/barras de error en X/personalizar/columna C ó F"</t>
  </si>
  <si>
    <r>
      <rPr>
        <b/>
        <i/>
        <sz val="11"/>
        <color theme="1"/>
        <rFont val="Arial"/>
      </rPr>
      <t>ubicación</t>
    </r>
    <r>
      <rPr>
        <b/>
        <sz val="11"/>
        <color theme="1"/>
        <rFont val="Arial"/>
      </rPr>
      <t>: gráfico 2</t>
    </r>
  </si>
  <si>
    <r>
      <rPr>
        <b/>
        <i/>
        <sz val="11"/>
        <color theme="1"/>
        <rFont val="Arial"/>
      </rPr>
      <t xml:space="preserve">opciones de gráfico: </t>
    </r>
    <r>
      <rPr>
        <b/>
        <sz val="11"/>
        <color theme="1"/>
        <rFont val="Arial"/>
      </rPr>
      <t>líneas de división verticales, títulos, etc</t>
    </r>
    <r>
      <rPr>
        <b/>
        <i/>
        <sz val="11"/>
        <color theme="1"/>
        <rFont val="Arial"/>
      </rPr>
      <t>…</t>
    </r>
  </si>
  <si>
    <t>para detalles técnicos del gráfico ver archivo: "gráficas y tablas".</t>
  </si>
  <si>
    <t xml:space="preserve">TABLAS Y GRÁFICA FUNDAMENTALES PARA: </t>
  </si>
  <si>
    <t xml:space="preserve">    Incorporar al informe y comentar los resultados</t>
  </si>
  <si>
    <t xml:space="preserve"> contrastados entre los dos métodos y las tres sesiones</t>
  </si>
  <si>
    <t>AMPLIACIÓN</t>
  </si>
  <si>
    <t>Col.1/muestra</t>
  </si>
  <si>
    <r>
      <rPr>
        <b/>
        <i/>
        <sz val="9"/>
        <color theme="1"/>
        <rFont val="Arial"/>
      </rPr>
      <t>M</t>
    </r>
    <r>
      <rPr>
        <b/>
        <i/>
        <vertAlign val="subscript"/>
        <sz val="9"/>
        <color theme="1"/>
        <rFont val="Arial"/>
      </rPr>
      <t>s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0,1(g)</t>
    </r>
  </si>
  <si>
    <r>
      <rPr>
        <b/>
        <i/>
        <sz val="9"/>
        <color theme="1"/>
        <rFont val="Arial"/>
      </rPr>
      <t>D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</si>
  <si>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</si>
  <si>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</si>
  <si>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</t>
    </r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</si>
  <si>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</si>
  <si>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</si>
  <si>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</si>
  <si>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t xml:space="preserve">          Amarillo: datos.       </t>
  </si>
  <si>
    <t>Verde: cálculos</t>
  </si>
  <si>
    <t>madera</t>
  </si>
  <si>
    <t>1/I</t>
  </si>
  <si>
    <t xml:space="preserve">!Recordar¡:  </t>
  </si>
  <si>
    <r>
      <rPr>
        <b/>
        <i/>
        <sz val="11"/>
        <color theme="1"/>
        <rFont val="Arial"/>
      </rPr>
      <t xml:space="preserve">  1.  V</t>
    </r>
    <r>
      <rPr>
        <b/>
        <vertAlign val="subscript"/>
        <sz val="11"/>
        <color theme="1"/>
        <rFont val="Arial"/>
      </rPr>
      <t>cil</t>
    </r>
    <r>
      <rPr>
        <b/>
        <sz val="11"/>
        <color theme="1"/>
        <rFont val="Arial"/>
      </rPr>
      <t>=(</t>
    </r>
    <r>
      <rPr>
        <b/>
        <sz val="11"/>
        <color theme="1"/>
        <rFont val="Symbol"/>
      </rPr>
      <t>p</t>
    </r>
    <r>
      <rPr>
        <b/>
        <sz val="11"/>
        <color theme="1"/>
        <rFont val="Arial"/>
      </rPr>
      <t>/4)</t>
    </r>
    <r>
      <rPr>
        <b/>
        <i/>
        <sz val="11"/>
        <color theme="1"/>
        <rFont val="Arial"/>
      </rPr>
      <t>D</t>
    </r>
    <r>
      <rPr>
        <b/>
        <vertAlign val="superscript"/>
        <sz val="11"/>
        <color theme="1"/>
        <rFont val="Arial"/>
      </rPr>
      <t>2</t>
    </r>
    <r>
      <rPr>
        <b/>
        <i/>
        <sz val="11"/>
        <color theme="1"/>
        <rFont val="Arial"/>
      </rPr>
      <t xml:space="preserve">h; </t>
    </r>
    <r>
      <rPr>
        <b/>
        <i/>
        <sz val="11"/>
        <color theme="1"/>
        <rFont val="Symbol"/>
      </rPr>
      <t>r</t>
    </r>
    <r>
      <rPr>
        <b/>
        <i/>
        <sz val="11"/>
        <color theme="1"/>
        <rFont val="Arial"/>
      </rPr>
      <t>=</t>
    </r>
    <r>
      <rPr>
        <b/>
        <sz val="11"/>
        <color theme="1"/>
        <rFont val="Arial"/>
      </rPr>
      <t>M/V</t>
    </r>
  </si>
  <si>
    <t>1/II</t>
  </si>
  <si>
    <r>
      <rPr>
        <b/>
        <sz val="11"/>
        <color theme="1"/>
        <rFont val="Arial"/>
      </rPr>
      <t xml:space="preserve">      2.-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Arial"/>
      </rPr>
      <t>V</t>
    </r>
    <r>
      <rPr>
        <b/>
        <sz val="11"/>
        <color theme="1"/>
        <rFont val="Arial"/>
      </rPr>
      <t>=</t>
    </r>
    <r>
      <rPr>
        <b/>
        <i/>
        <sz val="11"/>
        <color theme="1"/>
        <rFont val="Arial"/>
      </rPr>
      <t>V</t>
    </r>
    <r>
      <rPr>
        <b/>
        <sz val="11"/>
        <color theme="1"/>
        <rFont val="Arial"/>
      </rPr>
      <t>(2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Arial"/>
      </rPr>
      <t>D</t>
    </r>
    <r>
      <rPr>
        <b/>
        <sz val="11"/>
        <color theme="1"/>
        <rFont val="Arial"/>
      </rPr>
      <t>/</t>
    </r>
    <r>
      <rPr>
        <b/>
        <i/>
        <sz val="11"/>
        <color theme="1"/>
        <rFont val="Arial"/>
      </rPr>
      <t>D</t>
    </r>
    <r>
      <rPr>
        <b/>
        <sz val="11"/>
        <color theme="1"/>
        <rFont val="Arial"/>
      </rPr>
      <t>+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Arial"/>
      </rPr>
      <t>h</t>
    </r>
    <r>
      <rPr>
        <b/>
        <sz val="11"/>
        <color theme="1"/>
        <rFont val="Arial"/>
      </rPr>
      <t>/</t>
    </r>
    <r>
      <rPr>
        <b/>
        <i/>
        <sz val="11"/>
        <color theme="1"/>
        <rFont val="Arial"/>
      </rPr>
      <t>h</t>
    </r>
    <r>
      <rPr>
        <b/>
        <sz val="11"/>
        <color theme="1"/>
        <rFont val="Arial"/>
      </rPr>
      <t>);</t>
    </r>
  </si>
  <si>
    <r>
      <rPr>
        <b/>
        <sz val="11"/>
        <color theme="1"/>
        <rFont val="Arial"/>
      </rPr>
      <t xml:space="preserve"> 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Arial"/>
      </rPr>
      <t>D</t>
    </r>
    <r>
      <rPr>
        <b/>
        <sz val="11"/>
        <color theme="1"/>
        <rFont val="Arial"/>
      </rPr>
      <t>=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Arial"/>
      </rPr>
      <t>h</t>
    </r>
    <r>
      <rPr>
        <b/>
        <sz val="11"/>
        <color theme="1"/>
        <rFont val="Arial"/>
      </rPr>
      <t>=0,01 cm</t>
    </r>
  </si>
  <si>
    <t>1/III</t>
  </si>
  <si>
    <t>3.-</t>
  </si>
  <si>
    <r>
      <rPr>
        <b/>
        <sz val="11"/>
        <color theme="1"/>
        <rFont val="Noto Sans Symbols"/>
      </rPr>
      <t>d</t>
    </r>
    <r>
      <rPr>
        <b/>
        <i/>
        <sz val="11"/>
        <color theme="1"/>
        <rFont val="Symbol"/>
      </rPr>
      <t>r</t>
    </r>
    <r>
      <rPr>
        <b/>
        <sz val="11"/>
        <color theme="1"/>
        <rFont val="Arial"/>
      </rPr>
      <t>=</t>
    </r>
    <r>
      <rPr>
        <b/>
        <i/>
        <sz val="11"/>
        <color theme="1"/>
        <rFont val="Symbol"/>
      </rPr>
      <t>r</t>
    </r>
    <r>
      <rPr>
        <b/>
        <sz val="11"/>
        <color theme="1"/>
        <rFont val="Arial"/>
      </rPr>
      <t>(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Arial"/>
      </rPr>
      <t>M/M+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Arial"/>
      </rPr>
      <t>V/V</t>
    </r>
    <r>
      <rPr>
        <b/>
        <sz val="11"/>
        <color theme="1"/>
        <rFont val="Arial"/>
      </rPr>
      <t xml:space="preserve">); 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Arial"/>
      </rPr>
      <t>M</t>
    </r>
    <r>
      <rPr>
        <b/>
        <sz val="11"/>
        <color theme="1"/>
        <rFont val="Arial"/>
      </rPr>
      <t>=0,1 g</t>
    </r>
  </si>
  <si>
    <t>1/IV</t>
  </si>
  <si>
    <t>4.-</t>
  </si>
  <si>
    <r>
      <rPr>
        <b/>
        <sz val="11"/>
        <color theme="1"/>
        <rFont val="Noto Sans Symbols"/>
      </rPr>
      <t>D</t>
    </r>
    <r>
      <rPr>
        <b/>
        <i/>
        <sz val="11"/>
        <color theme="1"/>
        <rFont val="Symbol"/>
      </rPr>
      <t>r</t>
    </r>
    <r>
      <rPr>
        <b/>
        <sz val="11"/>
        <color theme="1"/>
        <rFont val="Arial"/>
      </rPr>
      <t>(%)=100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Symbol"/>
      </rPr>
      <t>r/r</t>
    </r>
  </si>
  <si>
    <t>1/V</t>
  </si>
  <si>
    <t>1/VI</t>
  </si>
  <si>
    <t>Programar primero todas las operaciones de la fila 4: E4,F4,G4, H4 e I4</t>
  </si>
  <si>
    <t>XXXXX</t>
  </si>
  <si>
    <t>Rellenar después  las cinco columnas a la vez  hasta la fila 9 (autorelleno:tirar)</t>
  </si>
  <si>
    <t>Col.2/muestra</t>
  </si>
  <si>
    <r>
      <rPr>
        <b/>
        <i/>
        <sz val="9"/>
        <color theme="1"/>
        <rFont val="Arial"/>
      </rPr>
      <t>M</t>
    </r>
    <r>
      <rPr>
        <b/>
        <i/>
        <vertAlign val="subscript"/>
        <sz val="9"/>
        <color theme="1"/>
        <rFont val="Arial"/>
      </rPr>
      <t>s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0,1(g)</t>
    </r>
  </si>
  <si>
    <r>
      <rPr>
        <b/>
        <i/>
        <sz val="9"/>
        <color theme="1"/>
        <rFont val="Arial"/>
      </rPr>
      <t>D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</si>
  <si>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</si>
  <si>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</si>
  <si>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</t>
    </r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</si>
  <si>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</si>
  <si>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</si>
  <si>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</si>
  <si>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t>Copiar y 'pegar fórmulas' en el resto de colecciones.</t>
  </si>
  <si>
    <t>plástico</t>
  </si>
  <si>
    <t>2/I</t>
  </si>
  <si>
    <t>!!!!REDONDEAR¡¡¡¡¡¡</t>
  </si>
  <si>
    <t>2/II</t>
  </si>
  <si>
    <t>2/III</t>
  </si>
  <si>
    <r>
      <rPr>
        <b/>
        <sz val="10"/>
        <color theme="1"/>
        <rFont val="Arial"/>
      </rPr>
      <t xml:space="preserve">OBSÉRVESE QUE SE HAN INCLUIDO LOS VALORES </t>
    </r>
    <r>
      <rPr>
        <b/>
        <i/>
        <sz val="10"/>
        <color theme="1"/>
        <rFont val="Arial"/>
      </rPr>
      <t>M</t>
    </r>
    <r>
      <rPr>
        <b/>
        <sz val="10"/>
        <color theme="1"/>
        <rFont val="Arial"/>
      </rPr>
      <t>=0 y</t>
    </r>
    <r>
      <rPr>
        <b/>
        <i/>
        <sz val="10"/>
        <color theme="1"/>
        <rFont val="Arial"/>
      </rPr>
      <t xml:space="preserve"> V</t>
    </r>
    <r>
      <rPr>
        <b/>
        <sz val="10"/>
        <color theme="1"/>
        <rFont val="Arial"/>
      </rPr>
      <t xml:space="preserve">=0: </t>
    </r>
  </si>
  <si>
    <t>2/IV</t>
  </si>
  <si>
    <t>ÚTILES DESPUÉS PARA LA REPRESENTACIÓN GRÁFICA</t>
  </si>
  <si>
    <t>2/V</t>
  </si>
  <si>
    <t>2/VI</t>
  </si>
  <si>
    <t>Col.3/muestra</t>
  </si>
  <si>
    <r>
      <rPr>
        <b/>
        <i/>
        <sz val="9"/>
        <color theme="1"/>
        <rFont val="Arial"/>
      </rPr>
      <t>M</t>
    </r>
    <r>
      <rPr>
        <b/>
        <i/>
        <vertAlign val="subscript"/>
        <sz val="9"/>
        <color theme="1"/>
        <rFont val="Arial"/>
      </rPr>
      <t>s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0,1(g)</t>
    </r>
  </si>
  <si>
    <r>
      <rPr>
        <b/>
        <i/>
        <sz val="9"/>
        <color theme="1"/>
        <rFont val="Arial"/>
      </rPr>
      <t>D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</si>
  <si>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</si>
  <si>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</si>
  <si>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</t>
    </r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</si>
  <si>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</si>
  <si>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</si>
  <si>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</si>
  <si>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t>aluminio</t>
  </si>
  <si>
    <t>valores de la densidad similares en cada colección</t>
  </si>
  <si>
    <t>3/I</t>
  </si>
  <si>
    <t>3/II</t>
  </si>
  <si>
    <t>3/III</t>
  </si>
  <si>
    <t>3/IV</t>
  </si>
  <si>
    <t>3/V</t>
  </si>
  <si>
    <t>3/VI</t>
  </si>
  <si>
    <t>Col.4/muestra</t>
  </si>
  <si>
    <r>
      <rPr>
        <b/>
        <i/>
        <sz val="9"/>
        <color theme="1"/>
        <rFont val="Arial"/>
      </rPr>
      <t>M</t>
    </r>
    <r>
      <rPr>
        <b/>
        <i/>
        <vertAlign val="subscript"/>
        <sz val="9"/>
        <color theme="1"/>
        <rFont val="Arial"/>
      </rPr>
      <t>s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0,1(g)</t>
    </r>
  </si>
  <si>
    <r>
      <rPr>
        <b/>
        <i/>
        <sz val="9"/>
        <color theme="1"/>
        <rFont val="Arial"/>
      </rPr>
      <t>D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</si>
  <si>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</si>
  <si>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</si>
  <si>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</t>
    </r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</si>
  <si>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</si>
  <si>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</si>
  <si>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</si>
  <si>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t>titanio</t>
  </si>
  <si>
    <t>4/I</t>
  </si>
  <si>
    <t>4/II</t>
  </si>
  <si>
    <t>4/III</t>
  </si>
  <si>
    <t>4/IV</t>
  </si>
  <si>
    <t>4/V</t>
  </si>
  <si>
    <t>4/VI</t>
  </si>
  <si>
    <t xml:space="preserve">          REPRESENTAR: </t>
  </si>
  <si>
    <t>Col.5/muestra</t>
  </si>
  <si>
    <r>
      <rPr>
        <b/>
        <i/>
        <sz val="9"/>
        <color theme="1"/>
        <rFont val="Arial"/>
      </rPr>
      <t>M</t>
    </r>
    <r>
      <rPr>
        <b/>
        <i/>
        <vertAlign val="subscript"/>
        <sz val="9"/>
        <color theme="1"/>
        <rFont val="Arial"/>
      </rPr>
      <t>s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0,1(g)</t>
    </r>
  </si>
  <si>
    <r>
      <rPr>
        <b/>
        <i/>
        <sz val="9"/>
        <color theme="1"/>
        <rFont val="Arial"/>
      </rPr>
      <t>D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</si>
  <si>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</si>
  <si>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</si>
  <si>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</t>
    </r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</si>
  <si>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</si>
  <si>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</si>
  <si>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</si>
  <si>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r>
      <rPr>
        <b/>
        <i/>
        <sz val="10"/>
        <color theme="1"/>
        <rFont val="Arial"/>
      </rPr>
      <t xml:space="preserve">       M</t>
    </r>
    <r>
      <rPr>
        <b/>
        <sz val="10"/>
        <color theme="1"/>
        <rFont val="Arial"/>
      </rPr>
      <t xml:space="preserve"> vs</t>
    </r>
    <r>
      <rPr>
        <b/>
        <i/>
        <sz val="10"/>
        <color theme="1"/>
        <rFont val="Arial"/>
      </rPr>
      <t xml:space="preserve"> V: </t>
    </r>
  </si>
  <si>
    <r>
      <rPr>
        <b/>
        <i/>
        <sz val="10"/>
        <color theme="1"/>
        <rFont val="Arial"/>
      </rPr>
      <t>serie 1</t>
    </r>
    <r>
      <rPr>
        <b/>
        <sz val="10"/>
        <color theme="1"/>
        <rFont val="Arial"/>
      </rPr>
      <t>: madera,</t>
    </r>
    <r>
      <rPr>
        <b/>
        <i/>
        <sz val="10"/>
        <color theme="1"/>
        <rFont val="Arial"/>
      </rPr>
      <t xml:space="preserve"> serie2</t>
    </r>
    <r>
      <rPr>
        <b/>
        <sz val="10"/>
        <color theme="1"/>
        <rFont val="Arial"/>
      </rPr>
      <t>: plástico, etc…</t>
    </r>
  </si>
  <si>
    <t>acero</t>
  </si>
  <si>
    <r>
      <rPr>
        <b/>
        <i/>
        <sz val="10"/>
        <color theme="1"/>
        <rFont val="Arial"/>
      </rPr>
      <t>eje X:</t>
    </r>
    <r>
      <rPr>
        <b/>
        <sz val="10"/>
        <color theme="1"/>
        <rFont val="Arial"/>
      </rPr>
      <t xml:space="preserve"> valores de </t>
    </r>
    <r>
      <rPr>
        <b/>
        <i/>
        <sz val="10"/>
        <color theme="1"/>
        <rFont val="Arial"/>
      </rPr>
      <t>V</t>
    </r>
    <r>
      <rPr>
        <b/>
        <sz val="10"/>
        <color theme="1"/>
        <rFont val="Arial"/>
      </rPr>
      <t xml:space="preserve">; </t>
    </r>
    <r>
      <rPr>
        <b/>
        <i/>
        <sz val="10"/>
        <color theme="1"/>
        <rFont val="Arial"/>
      </rPr>
      <t>eje Y</t>
    </r>
    <r>
      <rPr>
        <b/>
        <sz val="10"/>
        <color theme="1"/>
        <rFont val="Arial"/>
      </rPr>
      <t>: valores de</t>
    </r>
    <r>
      <rPr>
        <b/>
        <i/>
        <sz val="10"/>
        <color theme="1"/>
        <rFont val="Arial"/>
      </rPr>
      <t xml:space="preserve"> M</t>
    </r>
  </si>
  <si>
    <t>5/I</t>
  </si>
  <si>
    <t>¡¡Incluir el punto( 0,0)!!</t>
  </si>
  <si>
    <t>5/II</t>
  </si>
  <si>
    <t>Ajustar a rectas que pasen por el origen</t>
  </si>
  <si>
    <t>5/III</t>
  </si>
  <si>
    <r>
      <rPr>
        <b/>
        <sz val="10"/>
        <color theme="1"/>
        <rFont val="Arial"/>
      </rPr>
      <t>Opciones:</t>
    </r>
    <r>
      <rPr>
        <b/>
        <i/>
        <sz val="10"/>
        <color theme="1"/>
        <rFont val="Arial"/>
      </rPr>
      <t xml:space="preserve"> señalar intersección con el cero y</t>
    </r>
  </si>
  <si>
    <t>5/IV</t>
  </si>
  <si>
    <r>
      <rPr>
        <b/>
        <i/>
        <sz val="10"/>
        <color theme="1"/>
        <rFont val="Arial"/>
      </rPr>
      <t xml:space="preserve">presentar ecuación; </t>
    </r>
    <r>
      <rPr>
        <b/>
        <sz val="10"/>
        <color theme="1"/>
        <rFont val="Arial"/>
      </rPr>
      <t>pendiente igual a densidad</t>
    </r>
  </si>
  <si>
    <t>5/V</t>
  </si>
  <si>
    <r>
      <rPr>
        <b/>
        <i/>
        <sz val="11"/>
        <color theme="1"/>
        <rFont val="Arial"/>
      </rPr>
      <t>Ubicación:</t>
    </r>
    <r>
      <rPr>
        <b/>
        <sz val="11"/>
        <color theme="1"/>
        <rFont val="Arial"/>
      </rPr>
      <t xml:space="preserve"> gráfico 3</t>
    </r>
  </si>
  <si>
    <t>5/VI</t>
  </si>
  <si>
    <r>
      <rPr>
        <b/>
        <i/>
        <sz val="10"/>
        <color theme="1"/>
        <rFont val="Arial"/>
      </rPr>
      <t>Cuidar detalles técnicos</t>
    </r>
    <r>
      <rPr>
        <b/>
        <sz val="10"/>
        <color theme="1"/>
        <rFont val="Arial"/>
      </rPr>
      <t>: rejilla, título, ejes, etc..; ver "gráficas y tablas"</t>
    </r>
  </si>
  <si>
    <t>Col.6/muestra</t>
  </si>
  <si>
    <r>
      <rPr>
        <b/>
        <i/>
        <sz val="9"/>
        <color theme="1"/>
        <rFont val="Arial"/>
      </rPr>
      <t>M</t>
    </r>
    <r>
      <rPr>
        <b/>
        <i/>
        <vertAlign val="subscript"/>
        <sz val="9"/>
        <color theme="1"/>
        <rFont val="Arial"/>
      </rPr>
      <t>s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0,1(g)</t>
    </r>
  </si>
  <si>
    <r>
      <rPr>
        <b/>
        <i/>
        <sz val="9"/>
        <color theme="1"/>
        <rFont val="Arial"/>
      </rPr>
      <t>D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</si>
  <si>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</si>
  <si>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</si>
  <si>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</t>
    </r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</si>
  <si>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</si>
  <si>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</si>
  <si>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</si>
  <si>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t>latón</t>
  </si>
  <si>
    <t>6/I</t>
  </si>
  <si>
    <t>6/II</t>
  </si>
  <si>
    <t>6/III</t>
  </si>
  <si>
    <t xml:space="preserve">         SOLO  LA GRÁFICA</t>
  </si>
  <si>
    <t>6/IV</t>
  </si>
  <si>
    <t>6/V</t>
  </si>
  <si>
    <t>6/VI</t>
  </si>
  <si>
    <t>Col.7/muestra</t>
  </si>
  <si>
    <r>
      <rPr>
        <b/>
        <i/>
        <sz val="9"/>
        <color theme="1"/>
        <rFont val="Arial"/>
      </rPr>
      <t>M</t>
    </r>
    <r>
      <rPr>
        <b/>
        <i/>
        <vertAlign val="subscript"/>
        <sz val="9"/>
        <color theme="1"/>
        <rFont val="Arial"/>
      </rPr>
      <t>s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0,1(g)</t>
    </r>
  </si>
  <si>
    <r>
      <rPr>
        <b/>
        <i/>
        <sz val="9"/>
        <color theme="1"/>
        <rFont val="Arial"/>
      </rPr>
      <t>D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</si>
  <si>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</si>
  <si>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</si>
  <si>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</t>
    </r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</si>
  <si>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</si>
  <si>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</si>
  <si>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Symbol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</si>
  <si>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t>plomo</t>
  </si>
  <si>
    <t>7/I</t>
  </si>
  <si>
    <t>7/II</t>
  </si>
  <si>
    <t>7/III</t>
  </si>
  <si>
    <t>7/IV</t>
  </si>
  <si>
    <t>7/V</t>
  </si>
  <si>
    <t>7/VI</t>
  </si>
  <si>
    <t>Más representaciones en la hoja siguiente:</t>
  </si>
  <si>
    <t>Þ</t>
  </si>
  <si>
    <t xml:space="preserve">  MÁS REPRESENTACIONES  GRÁFICAS</t>
  </si>
  <si>
    <t>Copiar y pegar con "pegado especial:  formato de números y valores"</t>
  </si>
  <si>
    <t>Col.1/muest.</t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</si>
  <si>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</si>
  <si>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</si>
  <si>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</si>
  <si>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</si>
  <si>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</si>
  <si>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r>
      <rPr>
        <b/>
        <i/>
        <sz val="9"/>
        <color theme="1"/>
        <rFont val="Arial"/>
      </rPr>
      <t>1/h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</si>
  <si>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Arial"/>
      </rPr>
      <t>(1/h)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</si>
  <si>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r>
      <rPr>
        <b/>
        <sz val="10"/>
        <color theme="1"/>
        <rFont val="Noto Sans Symbols"/>
      </rPr>
      <t>d</t>
    </r>
    <r>
      <rPr>
        <b/>
        <sz val="10"/>
        <color theme="1"/>
        <rFont val="Arial"/>
      </rPr>
      <t>(1/</t>
    </r>
    <r>
      <rPr>
        <b/>
        <i/>
        <sz val="10"/>
        <color theme="1"/>
        <rFont val="Arial"/>
      </rPr>
      <t>h)</t>
    </r>
    <r>
      <rPr>
        <b/>
        <sz val="10"/>
        <color theme="1"/>
        <rFont val="Arial"/>
      </rPr>
      <t>(log-dif)=</t>
    </r>
    <r>
      <rPr>
        <b/>
        <sz val="10"/>
        <color theme="1"/>
        <rFont val="Symbol"/>
      </rPr>
      <t>d</t>
    </r>
    <r>
      <rPr>
        <b/>
        <i/>
        <sz val="10"/>
        <color theme="1"/>
        <rFont val="Arial"/>
      </rPr>
      <t>h</t>
    </r>
    <r>
      <rPr>
        <b/>
        <sz val="10"/>
        <color theme="1"/>
        <rFont val="Arial"/>
      </rPr>
      <t>/</t>
    </r>
    <r>
      <rPr>
        <b/>
        <i/>
        <sz val="10"/>
        <color theme="1"/>
        <rFont val="Arial"/>
      </rPr>
      <t>h</t>
    </r>
    <r>
      <rPr>
        <b/>
        <vertAlign val="superscript"/>
        <sz val="10"/>
        <color theme="1"/>
        <rFont val="Arial"/>
      </rPr>
      <t>2</t>
    </r>
    <r>
      <rPr>
        <b/>
        <sz val="10"/>
        <color theme="1"/>
        <rFont val="Arial"/>
      </rPr>
      <t>; redondear ambos.</t>
    </r>
  </si>
  <si>
    <r>
      <rPr>
        <b/>
        <i/>
        <sz val="12"/>
        <color theme="1"/>
        <rFont val="Noto Sans Symbols"/>
      </rPr>
      <t>r</t>
    </r>
    <r>
      <rPr>
        <b/>
        <vertAlign val="subscript"/>
        <sz val="12"/>
        <color theme="1"/>
        <rFont val="Arial"/>
      </rPr>
      <t>M</t>
    </r>
    <r>
      <rPr>
        <b/>
        <sz val="12"/>
        <color theme="1"/>
        <rFont val="Arial"/>
      </rPr>
      <t>:</t>
    </r>
  </si>
  <si>
    <r>
      <rPr>
        <b/>
        <i/>
        <sz val="12"/>
        <color theme="1"/>
        <rFont val="Noto Sans Symbols"/>
      </rPr>
      <t xml:space="preserve">  r</t>
    </r>
    <r>
      <rPr>
        <b/>
        <vertAlign val="subscript"/>
        <sz val="12"/>
        <color theme="1"/>
        <rFont val="Arial"/>
      </rPr>
      <t>M</t>
    </r>
    <r>
      <rPr>
        <b/>
        <sz val="12"/>
        <color theme="1"/>
        <rFont val="Arial"/>
      </rPr>
      <t>=promedio (D4:D9); (D13:D18), etc…</t>
    </r>
  </si>
  <si>
    <t>Col.2/muest.</t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</si>
  <si>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</si>
  <si>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</si>
  <si>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</si>
  <si>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</si>
  <si>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</si>
  <si>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r>
      <rPr>
        <b/>
        <i/>
        <sz val="9"/>
        <color theme="1"/>
        <rFont val="Arial"/>
      </rPr>
      <t>1/h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</si>
  <si>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Arial"/>
      </rPr>
      <t>(1/h)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</si>
  <si>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t>REPRESENTAR:</t>
  </si>
  <si>
    <r>
      <rPr>
        <b/>
        <sz val="11"/>
        <color theme="1"/>
        <rFont val="Arial"/>
      </rPr>
      <t>1</t>
    </r>
    <r>
      <rPr>
        <b/>
        <i/>
        <sz val="11"/>
        <color theme="1"/>
        <rFont val="Arial"/>
      </rPr>
      <t>.-</t>
    </r>
    <r>
      <rPr>
        <b/>
        <i/>
        <sz val="11"/>
        <color theme="1"/>
        <rFont val="Symbol"/>
      </rPr>
      <t>r</t>
    </r>
    <r>
      <rPr>
        <b/>
        <i/>
        <vertAlign val="superscript"/>
        <sz val="11"/>
        <color theme="1"/>
        <rFont val="Arial"/>
      </rPr>
      <t>G</t>
    </r>
    <r>
      <rPr>
        <b/>
        <i/>
        <sz val="11"/>
        <color theme="1"/>
        <rFont val="Arial"/>
      </rPr>
      <t xml:space="preserve"> vs V</t>
    </r>
    <r>
      <rPr>
        <b/>
        <sz val="11"/>
        <color theme="1"/>
        <rFont val="Arial"/>
      </rPr>
      <t>;   ubicación: gráfico 4….; crear horizontales con el valor de</t>
    </r>
    <r>
      <rPr>
        <b/>
        <i/>
        <sz val="11"/>
        <color theme="1"/>
        <rFont val="Arial"/>
      </rPr>
      <t xml:space="preserve"> </t>
    </r>
    <r>
      <rPr>
        <b/>
        <i/>
        <sz val="11"/>
        <color theme="1"/>
        <rFont val="Symbol"/>
      </rPr>
      <t>r</t>
    </r>
    <r>
      <rPr>
        <b/>
        <vertAlign val="subscript"/>
        <sz val="11"/>
        <color theme="1"/>
        <rFont val="Arial"/>
      </rPr>
      <t>M</t>
    </r>
    <r>
      <rPr>
        <b/>
        <i/>
        <vertAlign val="subscript"/>
        <sz val="11"/>
        <color theme="1"/>
        <rFont val="Arial"/>
      </rPr>
      <t xml:space="preserve"> </t>
    </r>
    <r>
      <rPr>
        <b/>
        <i/>
        <sz val="11"/>
        <color theme="1"/>
        <rFont val="Arial"/>
      </rPr>
      <t>(*)</t>
    </r>
  </si>
  <si>
    <r>
      <rPr>
        <b/>
        <sz val="11"/>
        <color theme="1"/>
        <rFont val="Arial"/>
      </rPr>
      <t xml:space="preserve">    y barras de error en el eje Y (columna E -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Symbol"/>
      </rPr>
      <t>r</t>
    </r>
    <r>
      <rPr>
        <b/>
        <sz val="11"/>
        <color theme="1"/>
        <rFont val="Arial"/>
      </rPr>
      <t>-)</t>
    </r>
  </si>
  <si>
    <r>
      <rPr>
        <b/>
        <sz val="11"/>
        <color theme="1"/>
        <rFont val="Arial"/>
      </rPr>
      <t xml:space="preserve">2.- 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Symbol"/>
      </rPr>
      <t>r</t>
    </r>
    <r>
      <rPr>
        <b/>
        <i/>
        <vertAlign val="superscript"/>
        <sz val="11"/>
        <color theme="1"/>
        <rFont val="Arial"/>
      </rPr>
      <t>G</t>
    </r>
    <r>
      <rPr>
        <b/>
        <sz val="11"/>
        <color theme="1"/>
        <rFont val="Arial"/>
      </rPr>
      <t xml:space="preserve"> vs </t>
    </r>
    <r>
      <rPr>
        <b/>
        <i/>
        <sz val="11"/>
        <color theme="1"/>
        <rFont val="Arial"/>
      </rPr>
      <t>h;</t>
    </r>
    <r>
      <rPr>
        <b/>
        <sz val="11"/>
        <color theme="1"/>
        <rFont val="Arial"/>
      </rPr>
      <t xml:space="preserve">  ajustar a hipérbolas (potencial); ubicación: Gráfico 5.</t>
    </r>
  </si>
  <si>
    <r>
      <rPr>
        <b/>
        <sz val="11"/>
        <color theme="1"/>
        <rFont val="Arial"/>
      </rPr>
      <t xml:space="preserve">3.- </t>
    </r>
    <r>
      <rPr>
        <b/>
        <i/>
        <sz val="11"/>
        <color theme="1"/>
        <rFont val="Symbol"/>
      </rPr>
      <t>dr</t>
    </r>
    <r>
      <rPr>
        <b/>
        <i/>
        <vertAlign val="superscript"/>
        <sz val="11"/>
        <color theme="1"/>
        <rFont val="Arial"/>
      </rPr>
      <t xml:space="preserve">G </t>
    </r>
    <r>
      <rPr>
        <b/>
        <sz val="11"/>
        <color theme="1"/>
        <rFont val="Arial"/>
      </rPr>
      <t>vs</t>
    </r>
    <r>
      <rPr>
        <b/>
        <i/>
        <sz val="11"/>
        <color theme="1"/>
        <rFont val="Arial"/>
      </rPr>
      <t xml:space="preserve"> 1/h;</t>
    </r>
    <r>
      <rPr>
        <b/>
        <sz val="11"/>
        <color theme="1"/>
        <rFont val="Arial"/>
      </rPr>
      <t xml:space="preserve"> ajustar a rectas que </t>
    </r>
    <r>
      <rPr>
        <b/>
        <u/>
        <sz val="11"/>
        <color theme="1"/>
        <rFont val="Arial"/>
      </rPr>
      <t>no pasen</t>
    </r>
    <r>
      <rPr>
        <b/>
        <sz val="11"/>
        <color theme="1"/>
        <rFont val="Arial"/>
      </rPr>
      <t xml:space="preserve"> por el cero;  ubic.:  Gráfico 6.</t>
    </r>
  </si>
  <si>
    <t>prolongar hacia atrás hasta cortar el eje Y.</t>
  </si>
  <si>
    <r>
      <rPr>
        <b/>
        <i/>
        <sz val="12"/>
        <color theme="1"/>
        <rFont val="Noto Sans Symbols"/>
      </rPr>
      <t>r</t>
    </r>
    <r>
      <rPr>
        <b/>
        <vertAlign val="subscript"/>
        <sz val="12"/>
        <color theme="1"/>
        <rFont val="Arial"/>
      </rPr>
      <t>M</t>
    </r>
    <r>
      <rPr>
        <b/>
        <sz val="12"/>
        <color theme="1"/>
        <rFont val="Arial"/>
      </rPr>
      <t>:</t>
    </r>
  </si>
  <si>
    <r>
      <rPr>
        <b/>
        <sz val="11"/>
        <color theme="1"/>
        <rFont val="Arial"/>
      </rPr>
      <t>4.-</t>
    </r>
    <r>
      <rPr>
        <b/>
        <sz val="11"/>
        <color theme="1"/>
        <rFont val="Symbol"/>
      </rPr>
      <t>D</t>
    </r>
    <r>
      <rPr>
        <b/>
        <i/>
        <sz val="11"/>
        <color theme="1"/>
        <rFont val="Symbol"/>
      </rPr>
      <t>r</t>
    </r>
    <r>
      <rPr>
        <b/>
        <vertAlign val="superscript"/>
        <sz val="11"/>
        <color theme="1"/>
        <rFont val="Arial"/>
      </rPr>
      <t>G</t>
    </r>
    <r>
      <rPr>
        <b/>
        <sz val="11"/>
        <color theme="1"/>
        <rFont val="Arial"/>
      </rPr>
      <t xml:space="preserve"> vs 1/</t>
    </r>
    <r>
      <rPr>
        <b/>
        <i/>
        <sz val="11"/>
        <color theme="1"/>
        <rFont val="Arial"/>
      </rPr>
      <t>h</t>
    </r>
    <r>
      <rPr>
        <b/>
        <sz val="11"/>
        <color theme="1"/>
        <rFont val="Arial"/>
      </rPr>
      <t xml:space="preserve">; ajustar a rectas que </t>
    </r>
    <r>
      <rPr>
        <b/>
        <u/>
        <sz val="11"/>
        <color theme="1"/>
        <rFont val="Arial"/>
      </rPr>
      <t>no pasen</t>
    </r>
    <r>
      <rPr>
        <b/>
        <sz val="11"/>
        <color theme="1"/>
        <rFont val="Arial"/>
      </rPr>
      <t xml:space="preserve"> por el cero; prolongar atrás. Gráfico 7.</t>
    </r>
  </si>
  <si>
    <r>
      <rPr>
        <b/>
        <sz val="10"/>
        <color theme="1"/>
        <rFont val="Arial"/>
      </rPr>
      <t>5.-Cuidar detalles técnicos: títulos, ejes, rejilla, viñeta. (ver archivo:</t>
    </r>
    <r>
      <rPr>
        <b/>
        <i/>
        <sz val="10"/>
        <color theme="1"/>
        <rFont val="Arial"/>
      </rPr>
      <t xml:space="preserve"> gráficas y tablas</t>
    </r>
    <r>
      <rPr>
        <b/>
        <sz val="10"/>
        <color theme="1"/>
        <rFont val="Arial"/>
      </rPr>
      <t>)</t>
    </r>
  </si>
  <si>
    <t>Col.3/muest.</t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</si>
  <si>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</si>
  <si>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</si>
  <si>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</si>
  <si>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</si>
  <si>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</si>
  <si>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r>
      <rPr>
        <b/>
        <i/>
        <sz val="9"/>
        <color theme="1"/>
        <rFont val="Arial"/>
      </rPr>
      <t>1/h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</si>
  <si>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Arial"/>
      </rPr>
      <t>(1/h)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</si>
  <si>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t xml:space="preserve">(*) Para crear horizontales: </t>
  </si>
  <si>
    <t>insertar series de apoyo respectivas:</t>
  </si>
  <si>
    <t>eje X</t>
  </si>
  <si>
    <t>eje Y1</t>
  </si>
  <si>
    <t>Y2</t>
  </si>
  <si>
    <t>Y3</t>
  </si>
  <si>
    <t>Y4</t>
  </si>
  <si>
    <t>Y5</t>
  </si>
  <si>
    <t>Y6</t>
  </si>
  <si>
    <t>Y7</t>
  </si>
  <si>
    <t>3VI</t>
  </si>
  <si>
    <t>y unir ambos puntos de cada serie con una recta; alargar.</t>
  </si>
  <si>
    <r>
      <rPr>
        <b/>
        <i/>
        <sz val="12"/>
        <color theme="1"/>
        <rFont val="Noto Sans Symbols"/>
      </rPr>
      <t>r</t>
    </r>
    <r>
      <rPr>
        <b/>
        <vertAlign val="subscript"/>
        <sz val="12"/>
        <color theme="1"/>
        <rFont val="Arial"/>
      </rPr>
      <t>M</t>
    </r>
    <r>
      <rPr>
        <b/>
        <sz val="12"/>
        <color theme="1"/>
        <rFont val="Arial"/>
      </rPr>
      <t>:</t>
    </r>
  </si>
  <si>
    <t>Col.4/muest.</t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</si>
  <si>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</si>
  <si>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</si>
  <si>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</si>
  <si>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</si>
  <si>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</si>
  <si>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r>
      <rPr>
        <b/>
        <i/>
        <sz val="9"/>
        <color theme="1"/>
        <rFont val="Arial"/>
      </rPr>
      <t>1/h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</si>
  <si>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Arial"/>
      </rPr>
      <t>(1/h)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</si>
  <si>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r>
      <rPr>
        <b/>
        <i/>
        <sz val="12"/>
        <color theme="1"/>
        <rFont val="Noto Sans Symbols"/>
      </rPr>
      <t>r</t>
    </r>
    <r>
      <rPr>
        <b/>
        <vertAlign val="subscript"/>
        <sz val="12"/>
        <color theme="1"/>
        <rFont val="Arial"/>
      </rPr>
      <t>M</t>
    </r>
    <r>
      <rPr>
        <b/>
        <sz val="12"/>
        <color theme="1"/>
        <rFont val="Arial"/>
      </rPr>
      <t>:</t>
    </r>
  </si>
  <si>
    <t>Col.5/muest.</t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</si>
  <si>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</si>
  <si>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</si>
  <si>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</si>
  <si>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</si>
  <si>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</si>
  <si>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r>
      <rPr>
        <b/>
        <i/>
        <sz val="9"/>
        <color theme="1"/>
        <rFont val="Arial"/>
      </rPr>
      <t>1/h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</si>
  <si>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Arial"/>
      </rPr>
      <t>(1/h)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</si>
  <si>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r>
      <rPr>
        <b/>
        <i/>
        <sz val="12"/>
        <color theme="1"/>
        <rFont val="Noto Sans Symbols"/>
      </rPr>
      <t>r</t>
    </r>
    <r>
      <rPr>
        <b/>
        <vertAlign val="subscript"/>
        <sz val="12"/>
        <color theme="1"/>
        <rFont val="Arial"/>
      </rPr>
      <t>M</t>
    </r>
    <r>
      <rPr>
        <b/>
        <sz val="12"/>
        <color theme="1"/>
        <rFont val="Arial"/>
      </rPr>
      <t>:</t>
    </r>
  </si>
  <si>
    <t>Col.6/muest.</t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</si>
  <si>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</si>
  <si>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</si>
  <si>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</si>
  <si>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</si>
  <si>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</si>
  <si>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r>
      <rPr>
        <b/>
        <i/>
        <sz val="9"/>
        <color theme="1"/>
        <rFont val="Arial"/>
      </rPr>
      <t>1/h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</si>
  <si>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Arial"/>
      </rPr>
      <t>(1/h)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</si>
  <si>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t xml:space="preserve">                    SOLO GRÁFICAS</t>
  </si>
  <si>
    <r>
      <rPr>
        <b/>
        <i/>
        <sz val="12"/>
        <color theme="1"/>
        <rFont val="Noto Sans Symbols"/>
      </rPr>
      <t>r</t>
    </r>
    <r>
      <rPr>
        <b/>
        <vertAlign val="subscript"/>
        <sz val="12"/>
        <color theme="1"/>
        <rFont val="Arial"/>
      </rPr>
      <t>M</t>
    </r>
    <r>
      <rPr>
        <b/>
        <sz val="12"/>
        <color theme="1"/>
        <rFont val="Arial"/>
      </rPr>
      <t>:</t>
    </r>
  </si>
  <si>
    <t>Col.7/muest.</t>
  </si>
  <si>
    <r>
      <rPr>
        <b/>
        <i/>
        <sz val="9"/>
        <color theme="1"/>
        <rFont val="Arial"/>
      </rPr>
      <t>h</t>
    </r>
    <r>
      <rPr>
        <b/>
        <sz val="9"/>
        <color theme="1"/>
        <rFont val="Symbol"/>
      </rPr>
      <t>±</t>
    </r>
    <r>
      <rPr>
        <b/>
        <sz val="9"/>
        <color theme="1"/>
        <rFont val="Arial"/>
      </rPr>
      <t>0,01(cm)</t>
    </r>
  </si>
  <si>
    <r>
      <rPr>
        <b/>
        <i/>
        <sz val="9"/>
        <color theme="1"/>
        <rFont val="Arial"/>
      </rPr>
      <t>V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</si>
  <si>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</si>
  <si>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Arial"/>
      </rPr>
      <t>(g·cm</t>
    </r>
    <r>
      <rPr>
        <b/>
        <vertAlign val="superscript"/>
        <sz val="9"/>
        <color theme="1"/>
        <rFont val="Arial"/>
      </rPr>
      <t>-3</t>
    </r>
    <r>
      <rPr>
        <b/>
        <sz val="9"/>
        <color theme="1"/>
        <rFont val="Arial"/>
      </rPr>
      <t>)</t>
    </r>
  </si>
  <si>
    <r>
      <rPr>
        <b/>
        <i/>
        <sz val="9"/>
        <color theme="1"/>
        <rFont val="Noto Sans Symbols"/>
      </rPr>
      <t>Dr</t>
    </r>
    <r>
      <rPr>
        <b/>
        <i/>
        <vertAlign val="superscript"/>
        <sz val="9"/>
        <color theme="1"/>
        <rFont val="Arial"/>
      </rPr>
      <t>G</t>
    </r>
    <r>
      <rPr>
        <b/>
        <sz val="9"/>
        <color theme="1"/>
        <rFont val="Symbol"/>
      </rPr>
      <t>(%)</t>
    </r>
  </si>
  <si>
    <r>
      <rPr>
        <b/>
        <i/>
        <sz val="9"/>
        <color theme="1"/>
        <rFont val="Arial"/>
      </rPr>
      <t>1/h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</si>
  <si>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r>
      <rPr>
        <b/>
        <sz val="9"/>
        <color theme="1"/>
        <rFont val="Noto Sans Symbols"/>
      </rPr>
      <t>d</t>
    </r>
    <r>
      <rPr>
        <b/>
        <i/>
        <sz val="9"/>
        <color theme="1"/>
        <rFont val="Arial"/>
      </rPr>
      <t>(1/h)</t>
    </r>
    <r>
      <rPr>
        <b/>
        <sz val="9"/>
        <color theme="1"/>
        <rFont val="Arial"/>
      </rPr>
      <t>(cm</t>
    </r>
    <r>
      <rPr>
        <b/>
        <vertAlign val="superscript"/>
        <sz val="9"/>
        <color theme="1"/>
        <rFont val="Arial"/>
      </rPr>
      <t>-1</t>
    </r>
    <r>
      <rPr>
        <b/>
        <sz val="9"/>
        <color theme="1"/>
        <rFont val="Arial"/>
      </rPr>
      <t>)</t>
    </r>
  </si>
  <si>
    <r>
      <rPr>
        <b/>
        <i/>
        <sz val="12"/>
        <color theme="1"/>
        <rFont val="Noto Sans Symbols"/>
      </rPr>
      <t>r</t>
    </r>
    <r>
      <rPr>
        <b/>
        <vertAlign val="subscript"/>
        <sz val="12"/>
        <color theme="1"/>
        <rFont val="Arial"/>
      </rPr>
      <t>M</t>
    </r>
    <r>
      <rPr>
        <b/>
        <sz val="12"/>
        <color theme="1"/>
        <rFont val="Arial"/>
      </rPr>
      <t>:</t>
    </r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</si>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</sst>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5">
    <font>
      <sz val="10"/>
      <color rgb="FF000000"/>
      <name val="Century Gothic"/>
      <scheme val="minor"/>
    </font>
    <font>
      <b/>
      <sz val="20"/>
      <color rgb="FFFFFFFF"/>
      <name val="Arial"/>
    </font>
    <font>
      <sz val="10"/>
      <name val="Arial"/>
    </font>
    <font>
      <sz val="10"/>
      <color theme="1"/>
      <name val="Arial"/>
    </font>
    <font>
      <b/>
      <sz val="26"/>
      <color rgb="FF000000"/>
      <name val="Arial"/>
    </font>
    <font>
      <sz val="26"/>
      <color rgb="FF000000"/>
      <name val="Arial"/>
    </font>
    <font>
      <b/>
      <sz val="18"/>
      <color rgb="FF000000"/>
      <name val="Arial"/>
    </font>
    <font>
      <sz val="18"/>
      <color theme="1"/>
      <name val="Arial"/>
    </font>
    <font>
      <b/>
      <i/>
      <sz val="9"/>
      <color theme="1"/>
      <name val="Arial"/>
    </font>
    <font>
      <b/>
      <i/>
      <sz val="8"/>
      <color theme="1"/>
      <name val="Arial"/>
    </font>
    <font>
      <b/>
      <i/>
      <sz val="9"/>
      <color theme="1"/>
      <name val="Noto Sans Symbols"/>
    </font>
    <font>
      <b/>
      <sz val="9"/>
      <color theme="1"/>
      <name val="Noto Sans Symbols"/>
    </font>
    <font>
      <b/>
      <sz val="10"/>
      <color theme="1"/>
      <name val="Noto Sans Symbols"/>
    </font>
    <font>
      <b/>
      <sz val="11"/>
      <color theme="1"/>
      <name val="Arial"/>
    </font>
    <font>
      <sz val="10"/>
      <color theme="1"/>
      <name val="Noto Sans Symbols"/>
    </font>
    <font>
      <b/>
      <sz val="9"/>
      <color theme="1"/>
      <name val="Arial"/>
    </font>
    <font>
      <b/>
      <sz val="10"/>
      <color theme="1"/>
      <name val="Arial"/>
    </font>
    <font>
      <sz val="20"/>
      <color rgb="FFFFFFFF"/>
      <name val="Arial"/>
    </font>
    <font>
      <b/>
      <i/>
      <sz val="10"/>
      <color theme="1"/>
      <name val="Noto Sans Symbols"/>
    </font>
    <font>
      <b/>
      <sz val="16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b/>
      <i/>
      <sz val="14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9"/>
      <color theme="1"/>
      <name val="Arial"/>
    </font>
    <font>
      <b/>
      <sz val="12"/>
      <color theme="1"/>
      <name val="Noto Sans Symbols"/>
    </font>
    <font>
      <b/>
      <sz val="14"/>
      <color theme="1"/>
      <name val="Noto Sans Symbols"/>
    </font>
    <font>
      <b/>
      <sz val="16"/>
      <color rgb="FF000000"/>
      <name val="Arial"/>
    </font>
    <font>
      <sz val="16"/>
      <color rgb="FF000000"/>
      <name val="Arial"/>
    </font>
    <font>
      <sz val="16"/>
      <color theme="1"/>
      <name val="Arial"/>
    </font>
    <font>
      <b/>
      <i/>
      <sz val="10"/>
      <color theme="1"/>
      <name val="Arial"/>
    </font>
    <font>
      <sz val="11"/>
      <color theme="1"/>
      <name val="Arial"/>
    </font>
    <font>
      <b/>
      <i/>
      <sz val="14"/>
      <color theme="1"/>
      <name val="Noto Sans Symbols"/>
    </font>
    <font>
      <i/>
      <sz val="11"/>
      <color theme="1"/>
      <name val="Arial"/>
    </font>
    <font>
      <i/>
      <sz val="9"/>
      <color theme="1"/>
      <name val="Arial"/>
    </font>
    <font>
      <b/>
      <i/>
      <sz val="11"/>
      <color theme="1"/>
      <name val="Arial"/>
    </font>
    <font>
      <b/>
      <sz val="18"/>
      <color theme="1"/>
      <name val="Arial"/>
    </font>
    <font>
      <b/>
      <u/>
      <sz val="12"/>
      <color theme="1"/>
      <name val="Arial"/>
    </font>
    <font>
      <u/>
      <sz val="12"/>
      <color theme="1"/>
      <name val="Arial"/>
    </font>
    <font>
      <sz val="18"/>
      <color rgb="FFFFFFFF"/>
      <name val="Arial"/>
    </font>
    <font>
      <b/>
      <sz val="18"/>
      <color rgb="FFFFFFFF"/>
      <name val="Arial"/>
    </font>
    <font>
      <sz val="18"/>
      <color rgb="FF000000"/>
      <name val="Arial"/>
    </font>
    <font>
      <b/>
      <i/>
      <sz val="12"/>
      <color theme="1"/>
      <name val="Arial"/>
    </font>
    <font>
      <b/>
      <sz val="14"/>
      <color rgb="FFFFFFFF"/>
      <name val="Arial"/>
    </font>
    <font>
      <sz val="14"/>
      <color rgb="FFFFFFFF"/>
      <name val="Arial"/>
    </font>
    <font>
      <b/>
      <i/>
      <sz val="12"/>
      <color theme="1"/>
      <name val="Noto Sans Symbols"/>
    </font>
    <font>
      <b/>
      <sz val="8"/>
      <color theme="1"/>
      <name val="Noto Sans Symbols"/>
    </font>
    <font>
      <b/>
      <sz val="11"/>
      <color theme="1"/>
      <name val="Noto Sans Symbols"/>
    </font>
    <font>
      <b/>
      <i/>
      <sz val="8"/>
      <color theme="1"/>
      <name val="Noto Sans Symbols"/>
    </font>
    <font>
      <sz val="8"/>
      <color theme="1"/>
      <name val="Arial"/>
    </font>
    <font>
      <b/>
      <sz val="8"/>
      <color theme="1"/>
      <name val="Arial Narrow"/>
    </font>
    <font>
      <b/>
      <i/>
      <sz val="11"/>
      <color theme="1"/>
      <name val="Noto Sans Symbols"/>
    </font>
    <font>
      <sz val="10"/>
      <color rgb="FFFFFFFF"/>
      <name val="Arial"/>
    </font>
    <font>
      <b/>
      <sz val="8"/>
      <color theme="1"/>
      <name val="Arial"/>
    </font>
    <font>
      <b/>
      <u/>
      <sz val="11"/>
      <color theme="1"/>
      <name val="Arial"/>
    </font>
    <font>
      <sz val="14"/>
      <color theme="1"/>
      <name val="Noto Sans Symbols"/>
    </font>
    <font>
      <b/>
      <i/>
      <vertAlign val="subscript"/>
      <sz val="9"/>
      <color theme="1"/>
      <name val="Arial"/>
    </font>
    <font>
      <b/>
      <vertAlign val="subscript"/>
      <sz val="9"/>
      <color theme="1"/>
      <name val="Symbol"/>
    </font>
    <font>
      <b/>
      <i/>
      <vertAlign val="subscript"/>
      <sz val="8"/>
      <color theme="1"/>
      <name val="Arial"/>
    </font>
    <font>
      <b/>
      <i/>
      <vertAlign val="superscript"/>
      <sz val="9"/>
      <color theme="1"/>
      <name val="Arial"/>
    </font>
    <font>
      <b/>
      <vertAlign val="superscript"/>
      <sz val="9"/>
      <color theme="1"/>
      <name val="Arial"/>
    </font>
    <font>
      <b/>
      <i/>
      <sz val="9"/>
      <color theme="1"/>
      <name val="Symbol"/>
    </font>
    <font>
      <b/>
      <sz val="9"/>
      <color theme="1"/>
      <name val="Symbol"/>
    </font>
    <font>
      <b/>
      <vertAlign val="subscript"/>
      <sz val="10"/>
      <color theme="1"/>
      <name val="Arial"/>
    </font>
    <font>
      <b/>
      <vertAlign val="superscript"/>
      <sz val="10"/>
      <color theme="1"/>
      <name val="Arial"/>
    </font>
    <font>
      <b/>
      <i/>
      <sz val="10"/>
      <color theme="1"/>
      <name val="Symbol"/>
    </font>
    <font>
      <b/>
      <vertAlign val="subscript"/>
      <sz val="9"/>
      <color theme="1"/>
      <name val="Arial"/>
    </font>
    <font>
      <b/>
      <i/>
      <vertAlign val="superscript"/>
      <sz val="10"/>
      <color theme="1"/>
      <name val="Arial"/>
    </font>
    <font>
      <b/>
      <sz val="10"/>
      <color theme="1"/>
      <name val="Symbol"/>
    </font>
    <font>
      <b/>
      <i/>
      <u/>
      <sz val="12"/>
      <color theme="1"/>
      <name val="Arial"/>
    </font>
    <font>
      <b/>
      <i/>
      <vertAlign val="subscript"/>
      <sz val="12"/>
      <color theme="1"/>
      <name val="Arial"/>
    </font>
    <font>
      <b/>
      <i/>
      <u/>
      <vertAlign val="subscript"/>
      <sz val="12"/>
      <color theme="1"/>
      <name val="Arial"/>
    </font>
    <font>
      <b/>
      <vertAlign val="subscript"/>
      <sz val="11"/>
      <color theme="1"/>
      <name val="Arial"/>
    </font>
    <font>
      <b/>
      <i/>
      <sz val="14"/>
      <color theme="1"/>
      <name val="Symbol"/>
    </font>
    <font>
      <b/>
      <vertAlign val="subscript"/>
      <sz val="14"/>
      <color theme="1"/>
      <name val="Arial"/>
    </font>
    <font>
      <b/>
      <sz val="14"/>
      <color theme="1"/>
      <name val="Symbol"/>
    </font>
    <font>
      <b/>
      <vertAlign val="superscript"/>
      <sz val="14"/>
      <color theme="1"/>
      <name val="Arial"/>
    </font>
    <font>
      <b/>
      <i/>
      <vertAlign val="subscript"/>
      <sz val="14"/>
      <color theme="1"/>
      <name val="Arial"/>
    </font>
    <font>
      <b/>
      <i/>
      <vertAlign val="superscript"/>
      <sz val="14"/>
      <color theme="1"/>
      <name val="Arial"/>
    </font>
    <font>
      <b/>
      <vertAlign val="subscript"/>
      <sz val="10"/>
      <color theme="1"/>
      <name val="Arial Narrow"/>
    </font>
    <font>
      <b/>
      <vertAlign val="superscript"/>
      <sz val="10"/>
      <color theme="1"/>
      <name val="Arial Narrow"/>
    </font>
    <font>
      <b/>
      <sz val="12"/>
      <color theme="1"/>
      <name val="Symbol"/>
    </font>
    <font>
      <b/>
      <vertAlign val="subscript"/>
      <sz val="12"/>
      <color theme="1"/>
      <name val="Arial"/>
    </font>
    <font>
      <b/>
      <i/>
      <sz val="10"/>
      <color rgb="FF008000"/>
      <name val="Arial"/>
    </font>
    <font>
      <b/>
      <vertAlign val="subscript"/>
      <sz val="10"/>
      <color rgb="FF008000"/>
      <name val="Arial"/>
    </font>
    <font>
      <b/>
      <sz val="10"/>
      <color rgb="FF00FF00"/>
      <name val="Symbol"/>
    </font>
    <font>
      <b/>
      <vertAlign val="subscript"/>
      <sz val="10"/>
      <color rgb="FF00FF00"/>
      <name val="Arial"/>
    </font>
    <font>
      <b/>
      <i/>
      <sz val="10"/>
      <color rgb="FF00FF00"/>
      <name val="Arial"/>
    </font>
    <font>
      <b/>
      <sz val="10"/>
      <color rgb="FF00FF00"/>
      <name val="Calibri"/>
    </font>
    <font>
      <sz val="9"/>
      <color theme="1"/>
      <name val="Symbol"/>
    </font>
    <font>
      <vertAlign val="subscript"/>
      <sz val="9"/>
      <color theme="1"/>
      <name val="Arial"/>
    </font>
    <font>
      <b/>
      <i/>
      <sz val="12"/>
      <color theme="1"/>
      <name val="Symbol"/>
    </font>
    <font>
      <b/>
      <vertAlign val="superscript"/>
      <sz val="12"/>
      <color theme="1"/>
      <name val="Arial"/>
    </font>
    <font>
      <b/>
      <i/>
      <sz val="11"/>
      <color theme="1"/>
      <name val="Symbol"/>
    </font>
    <font>
      <b/>
      <vertAlign val="superscript"/>
      <sz val="11"/>
      <color theme="1"/>
      <name val="Arial"/>
    </font>
    <font>
      <b/>
      <sz val="11"/>
      <color theme="1"/>
      <name val="Symbol"/>
    </font>
    <font>
      <b/>
      <i/>
      <vertAlign val="subscript"/>
      <sz val="11"/>
      <color theme="1"/>
      <name val="Arial Rounded MT Bold"/>
    </font>
    <font>
      <b/>
      <sz val="8"/>
      <color theme="1"/>
      <name val="Symbol"/>
    </font>
    <font>
      <b/>
      <vertAlign val="subscript"/>
      <sz val="8"/>
      <color theme="1"/>
      <name val="Arial"/>
    </font>
    <font>
      <b/>
      <vertAlign val="subscript"/>
      <sz val="8"/>
      <color theme="1"/>
      <name val="Symbol"/>
    </font>
    <font>
      <b/>
      <vertAlign val="superscript"/>
      <sz val="8"/>
      <color theme="1"/>
      <name val="Arial"/>
    </font>
    <font>
      <b/>
      <i/>
      <vertAlign val="superscript"/>
      <sz val="11"/>
      <color theme="1"/>
      <name val="Arial"/>
    </font>
    <font>
      <b/>
      <i/>
      <u/>
      <sz val="10"/>
      <color theme="1"/>
      <name val="Arial"/>
    </font>
    <font>
      <b/>
      <i/>
      <vertAlign val="subscript"/>
      <sz val="11"/>
      <color theme="1"/>
      <name val="Arial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00CCFF"/>
        <bgColor rgb="FF00CCFF"/>
      </patternFill>
    </fill>
    <fill>
      <patternFill patternType="solid">
        <fgColor rgb="FFFFFF99"/>
        <bgColor rgb="FFFFFF99"/>
      </patternFill>
    </fill>
    <fill>
      <patternFill patternType="solid">
        <fgColor rgb="FF00FF00"/>
        <bgColor rgb="FF00FF00"/>
      </patternFill>
    </fill>
    <fill>
      <patternFill patternType="solid">
        <fgColor rgb="FFCCCCFF"/>
        <bgColor rgb="FFCCCCFF"/>
      </patternFill>
    </fill>
    <fill>
      <patternFill patternType="solid">
        <fgColor rgb="FF0066CC"/>
        <bgColor rgb="FF0066CC"/>
      </patternFill>
    </fill>
    <fill>
      <patternFill patternType="solid">
        <fgColor rgb="FFFF9900"/>
        <bgColor rgb="FFFF9900"/>
      </patternFill>
    </fill>
    <fill>
      <patternFill patternType="solid">
        <fgColor rgb="FF339966"/>
        <bgColor rgb="FF339966"/>
      </patternFill>
    </fill>
    <fill>
      <patternFill patternType="solid">
        <fgColor rgb="FFFFCC00"/>
        <bgColor rgb="FFFFCC00"/>
      </patternFill>
    </fill>
    <fill>
      <patternFill patternType="solid">
        <fgColor rgb="FFFF0000"/>
        <bgColor rgb="FFFF0000"/>
      </patternFill>
    </fill>
    <fill>
      <patternFill patternType="solid">
        <fgColor rgb="FF3366FF"/>
        <bgColor rgb="FF3366FF"/>
      </patternFill>
    </fill>
    <fill>
      <patternFill patternType="solid">
        <fgColor rgb="FF00FFFF"/>
        <bgColor rgb="FF00FFFF"/>
      </patternFill>
    </fill>
    <fill>
      <patternFill patternType="solid">
        <fgColor rgb="FFCC99FF"/>
        <bgColor rgb="FFCC99FF"/>
      </patternFill>
    </fill>
    <fill>
      <patternFill patternType="solid">
        <fgColor rgb="FF33CCCC"/>
        <bgColor rgb="FF33CCCC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0000FF"/>
        <bgColor rgb="FF0000FF"/>
      </patternFill>
    </fill>
    <fill>
      <patternFill patternType="solid">
        <fgColor rgb="FFCCFFFF"/>
        <bgColor rgb="FFCCFFFF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4" xfId="0" applyFont="1" applyFill="1" applyBorder="1"/>
    <xf numFmtId="0" fontId="7" fillId="2" borderId="4" xfId="0" applyFont="1" applyFill="1" applyBorder="1"/>
    <xf numFmtId="0" fontId="7" fillId="0" borderId="0" xfId="0" applyFont="1"/>
    <xf numFmtId="0" fontId="7" fillId="3" borderId="4" xfId="0" applyFont="1" applyFill="1" applyBorder="1"/>
    <xf numFmtId="0" fontId="3" fillId="3" borderId="4" xfId="0" applyFont="1" applyFill="1" applyBorder="1"/>
    <xf numFmtId="0" fontId="8" fillId="4" borderId="5" xfId="0" applyFont="1" applyFill="1" applyBorder="1"/>
    <xf numFmtId="0" fontId="8" fillId="4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2" fillId="3" borderId="4" xfId="0" applyFont="1" applyFill="1" applyBorder="1"/>
    <xf numFmtId="0" fontId="13" fillId="2" borderId="4" xfId="0" applyFont="1" applyFill="1" applyBorder="1"/>
    <xf numFmtId="0" fontId="3" fillId="2" borderId="4" xfId="0" applyFont="1" applyFill="1" applyBorder="1"/>
    <xf numFmtId="0" fontId="14" fillId="0" borderId="0" xfId="0" applyFont="1"/>
    <xf numFmtId="0" fontId="15" fillId="4" borderId="5" xfId="0" applyFont="1" applyFill="1" applyBorder="1"/>
    <xf numFmtId="2" fontId="3" fillId="5" borderId="5" xfId="0" applyNumberFormat="1" applyFont="1" applyFill="1" applyBorder="1" applyAlignment="1">
      <alignment horizontal="center"/>
    </xf>
    <xf numFmtId="164" fontId="16" fillId="6" borderId="5" xfId="0" applyNumberFormat="1" applyFont="1" applyFill="1" applyBorder="1" applyAlignment="1">
      <alignment horizontal="center"/>
    </xf>
    <xf numFmtId="1" fontId="16" fillId="6" borderId="5" xfId="0" applyNumberFormat="1" applyFont="1" applyFill="1" applyBorder="1" applyAlignment="1">
      <alignment horizontal="center"/>
    </xf>
    <xf numFmtId="0" fontId="16" fillId="2" borderId="4" xfId="0" applyFont="1" applyFill="1" applyBorder="1"/>
    <xf numFmtId="2" fontId="16" fillId="6" borderId="5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3" fillId="6" borderId="6" xfId="0" applyNumberFormat="1" applyFont="1" applyFill="1" applyBorder="1" applyAlignment="1">
      <alignment horizontal="center"/>
    </xf>
    <xf numFmtId="1" fontId="3" fillId="6" borderId="6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16" fillId="6" borderId="8" xfId="0" applyNumberFormat="1" applyFont="1" applyFill="1" applyBorder="1" applyAlignment="1">
      <alignment horizontal="center"/>
    </xf>
    <xf numFmtId="2" fontId="16" fillId="6" borderId="9" xfId="0" applyNumberFormat="1" applyFont="1" applyFill="1" applyBorder="1" applyAlignment="1">
      <alignment horizontal="center"/>
    </xf>
    <xf numFmtId="1" fontId="16" fillId="6" borderId="10" xfId="0" applyNumberFormat="1" applyFont="1" applyFill="1" applyBorder="1" applyAlignment="1">
      <alignment horizontal="center"/>
    </xf>
    <xf numFmtId="2" fontId="3" fillId="6" borderId="11" xfId="0" applyNumberFormat="1" applyFont="1" applyFill="1" applyBorder="1" applyAlignment="1">
      <alignment horizontal="center"/>
    </xf>
    <xf numFmtId="1" fontId="3" fillId="6" borderId="11" xfId="0" applyNumberFormat="1" applyFont="1" applyFill="1" applyBorder="1" applyAlignment="1">
      <alignment horizontal="center"/>
    </xf>
    <xf numFmtId="0" fontId="17" fillId="0" borderId="0" xfId="0" applyFont="1"/>
    <xf numFmtId="2" fontId="3" fillId="6" borderId="5" xfId="0" applyNumberFormat="1" applyFont="1" applyFill="1" applyBorder="1" applyAlignment="1">
      <alignment horizontal="center"/>
    </xf>
    <xf numFmtId="1" fontId="3" fillId="6" borderId="5" xfId="0" applyNumberFormat="1" applyFont="1" applyFill="1" applyBorder="1" applyAlignment="1">
      <alignment horizontal="center"/>
    </xf>
    <xf numFmtId="0" fontId="18" fillId="7" borderId="4" xfId="0" applyFont="1" applyFill="1" applyBorder="1" applyAlignment="1">
      <alignment horizontal="left"/>
    </xf>
    <xf numFmtId="2" fontId="16" fillId="7" borderId="4" xfId="0" applyNumberFormat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9" fillId="2" borderId="4" xfId="0" applyFont="1" applyFill="1" applyBorder="1"/>
    <xf numFmtId="0" fontId="12" fillId="8" borderId="4" xfId="0" applyFont="1" applyFill="1" applyBorder="1" applyAlignment="1">
      <alignment horizontal="left"/>
    </xf>
    <xf numFmtId="0" fontId="16" fillId="8" borderId="4" xfId="0" applyFont="1" applyFill="1" applyBorder="1" applyAlignment="1">
      <alignment horizontal="left"/>
    </xf>
    <xf numFmtId="0" fontId="20" fillId="9" borderId="4" xfId="0" applyFont="1" applyFill="1" applyBorder="1"/>
    <xf numFmtId="0" fontId="21" fillId="9" borderId="4" xfId="0" applyFont="1" applyFill="1" applyBorder="1"/>
    <xf numFmtId="0" fontId="3" fillId="9" borderId="4" xfId="0" applyFont="1" applyFill="1" applyBorder="1"/>
    <xf numFmtId="0" fontId="22" fillId="2" borderId="4" xfId="0" applyFont="1" applyFill="1" applyBorder="1"/>
    <xf numFmtId="0" fontId="21" fillId="2" borderId="4" xfId="0" applyFont="1" applyFill="1" applyBorder="1"/>
    <xf numFmtId="0" fontId="22" fillId="10" borderId="4" xfId="0" applyFont="1" applyFill="1" applyBorder="1"/>
    <xf numFmtId="0" fontId="21" fillId="10" borderId="4" xfId="0" applyFont="1" applyFill="1" applyBorder="1"/>
    <xf numFmtId="0" fontId="3" fillId="10" borderId="4" xfId="0" applyFont="1" applyFill="1" applyBorder="1"/>
    <xf numFmtId="0" fontId="23" fillId="11" borderId="4" xfId="0" applyFont="1" applyFill="1" applyBorder="1"/>
    <xf numFmtId="0" fontId="24" fillId="11" borderId="4" xfId="0" applyFont="1" applyFill="1" applyBorder="1"/>
    <xf numFmtId="0" fontId="3" fillId="11" borderId="4" xfId="0" applyFont="1" applyFill="1" applyBorder="1"/>
    <xf numFmtId="0" fontId="16" fillId="11" borderId="4" xfId="0" applyFont="1" applyFill="1" applyBorder="1"/>
    <xf numFmtId="0" fontId="25" fillId="11" borderId="4" xfId="0" applyFont="1" applyFill="1" applyBorder="1"/>
    <xf numFmtId="0" fontId="12" fillId="0" borderId="0" xfId="0" applyFont="1"/>
    <xf numFmtId="0" fontId="26" fillId="11" borderId="4" xfId="0" applyFont="1" applyFill="1" applyBorder="1"/>
    <xf numFmtId="0" fontId="20" fillId="12" borderId="4" xfId="0" applyFont="1" applyFill="1" applyBorder="1"/>
    <xf numFmtId="0" fontId="27" fillId="12" borderId="4" xfId="0" applyFont="1" applyFill="1" applyBorder="1"/>
    <xf numFmtId="0" fontId="21" fillId="12" borderId="4" xfId="0" applyFont="1" applyFill="1" applyBorder="1"/>
    <xf numFmtId="0" fontId="21" fillId="0" borderId="0" xfId="0" applyFont="1"/>
    <xf numFmtId="0" fontId="23" fillId="0" borderId="0" xfId="0" applyFont="1"/>
    <xf numFmtId="0" fontId="16" fillId="0" borderId="0" xfId="0" applyFont="1"/>
    <xf numFmtId="0" fontId="1" fillId="13" borderId="4" xfId="0" applyFont="1" applyFill="1" applyBorder="1"/>
    <xf numFmtId="0" fontId="17" fillId="13" borderId="4" xfId="0" applyFont="1" applyFill="1" applyBorder="1"/>
    <xf numFmtId="0" fontId="28" fillId="2" borderId="4" xfId="0" applyFont="1" applyFill="1" applyBorder="1"/>
    <xf numFmtId="0" fontId="29" fillId="2" borderId="4" xfId="0" applyFont="1" applyFill="1" applyBorder="1"/>
    <xf numFmtId="0" fontId="30" fillId="2" borderId="4" xfId="0" applyFont="1" applyFill="1" applyBorder="1"/>
    <xf numFmtId="0" fontId="8" fillId="14" borderId="5" xfId="0" applyFont="1" applyFill="1" applyBorder="1"/>
    <xf numFmtId="0" fontId="8" fillId="14" borderId="5" xfId="0" applyFont="1" applyFill="1" applyBorder="1" applyAlignment="1">
      <alignment horizontal="center"/>
    </xf>
    <xf numFmtId="0" fontId="18" fillId="14" borderId="5" xfId="0" applyFont="1" applyFill="1" applyBorder="1" applyAlignment="1">
      <alignment horizontal="center"/>
    </xf>
    <xf numFmtId="0" fontId="12" fillId="14" borderId="5" xfId="0" applyFont="1" applyFill="1" applyBorder="1" applyAlignment="1">
      <alignment horizontal="center"/>
    </xf>
    <xf numFmtId="164" fontId="16" fillId="6" borderId="5" xfId="0" applyNumberFormat="1" applyFont="1" applyFill="1" applyBorder="1" applyAlignment="1">
      <alignment horizontal="left"/>
    </xf>
    <xf numFmtId="2" fontId="16" fillId="6" borderId="5" xfId="0" applyNumberFormat="1" applyFont="1" applyFill="1" applyBorder="1" applyAlignment="1">
      <alignment horizontal="left"/>
    </xf>
    <xf numFmtId="0" fontId="15" fillId="14" borderId="5" xfId="0" applyFont="1" applyFill="1" applyBorder="1"/>
    <xf numFmtId="165" fontId="3" fillId="5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65" fontId="16" fillId="6" borderId="5" xfId="0" applyNumberFormat="1" applyFont="1" applyFill="1" applyBorder="1" applyAlignment="1">
      <alignment horizontal="left"/>
    </xf>
    <xf numFmtId="165" fontId="16" fillId="6" borderId="5" xfId="0" applyNumberFormat="1" applyFont="1" applyFill="1" applyBorder="1" applyAlignment="1">
      <alignment horizontal="center"/>
    </xf>
    <xf numFmtId="0" fontId="15" fillId="0" borderId="0" xfId="0" applyFont="1"/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3" fillId="15" borderId="4" xfId="0" applyFont="1" applyFill="1" applyBorder="1"/>
    <xf numFmtId="0" fontId="3" fillId="15" borderId="4" xfId="0" applyFont="1" applyFill="1" applyBorder="1"/>
    <xf numFmtId="0" fontId="31" fillId="2" borderId="4" xfId="0" applyFont="1" applyFill="1" applyBorder="1"/>
    <xf numFmtId="0" fontId="31" fillId="10" borderId="4" xfId="0" applyFont="1" applyFill="1" applyBorder="1"/>
    <xf numFmtId="0" fontId="3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3" fillId="14" borderId="4" xfId="0" applyFont="1" applyFill="1" applyBorder="1" applyAlignment="1">
      <alignment horizontal="left"/>
    </xf>
    <xf numFmtId="0" fontId="24" fillId="14" borderId="4" xfId="0" applyFont="1" applyFill="1" applyBorder="1" applyAlignment="1">
      <alignment horizontal="left"/>
    </xf>
    <xf numFmtId="0" fontId="24" fillId="14" borderId="4" xfId="0" applyFont="1" applyFill="1" applyBorder="1"/>
    <xf numFmtId="0" fontId="3" fillId="14" borderId="4" xfId="0" applyFont="1" applyFill="1" applyBorder="1"/>
    <xf numFmtId="0" fontId="16" fillId="0" borderId="0" xfId="0" applyFont="1" applyAlignment="1">
      <alignment horizontal="left"/>
    </xf>
    <xf numFmtId="0" fontId="13" fillId="14" borderId="4" xfId="0" applyFont="1" applyFill="1" applyBorder="1" applyAlignment="1">
      <alignment horizontal="left"/>
    </xf>
    <xf numFmtId="0" fontId="32" fillId="14" borderId="4" xfId="0" applyFont="1" applyFill="1" applyBorder="1" applyAlignment="1">
      <alignment horizontal="left"/>
    </xf>
    <xf numFmtId="0" fontId="32" fillId="14" borderId="4" xfId="0" applyFont="1" applyFill="1" applyBorder="1"/>
    <xf numFmtId="0" fontId="16" fillId="0" borderId="0" xfId="0" applyFont="1" applyAlignment="1">
      <alignment horizontal="right"/>
    </xf>
    <xf numFmtId="0" fontId="20" fillId="16" borderId="4" xfId="0" applyFont="1" applyFill="1" applyBorder="1"/>
    <xf numFmtId="0" fontId="24" fillId="16" borderId="4" xfId="0" applyFont="1" applyFill="1" applyBorder="1"/>
    <xf numFmtId="0" fontId="30" fillId="0" borderId="0" xfId="0" applyFont="1"/>
    <xf numFmtId="0" fontId="33" fillId="16" borderId="4" xfId="0" applyFont="1" applyFill="1" applyBorder="1"/>
    <xf numFmtId="0" fontId="31" fillId="14" borderId="5" xfId="0" applyFont="1" applyFill="1" applyBorder="1"/>
    <xf numFmtId="0" fontId="13" fillId="5" borderId="5" xfId="0" applyFont="1" applyFill="1" applyBorder="1" applyAlignment="1">
      <alignment horizontal="center"/>
    </xf>
    <xf numFmtId="164" fontId="16" fillId="11" borderId="5" xfId="0" applyNumberFormat="1" applyFont="1" applyFill="1" applyBorder="1" applyAlignment="1">
      <alignment horizontal="center"/>
    </xf>
    <xf numFmtId="1" fontId="16" fillId="17" borderId="5" xfId="0" applyNumberFormat="1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2" fontId="16" fillId="11" borderId="5" xfId="0" applyNumberFormat="1" applyFont="1" applyFill="1" applyBorder="1" applyAlignment="1">
      <alignment horizontal="center"/>
    </xf>
    <xf numFmtId="0" fontId="16" fillId="14" borderId="5" xfId="0" applyFont="1" applyFill="1" applyBorder="1"/>
    <xf numFmtId="165" fontId="16" fillId="11" borderId="5" xfId="0" applyNumberFormat="1" applyFont="1" applyFill="1" applyBorder="1" applyAlignment="1">
      <alignment horizontal="center"/>
    </xf>
    <xf numFmtId="164" fontId="16" fillId="17" borderId="5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23" fillId="12" borderId="4" xfId="0" applyFont="1" applyFill="1" applyBorder="1"/>
    <xf numFmtId="0" fontId="3" fillId="12" borderId="4" xfId="0" applyFont="1" applyFill="1" applyBorder="1"/>
    <xf numFmtId="0" fontId="13" fillId="14" borderId="4" xfId="0" applyFont="1" applyFill="1" applyBorder="1"/>
    <xf numFmtId="0" fontId="23" fillId="14" borderId="4" xfId="0" applyFont="1" applyFill="1" applyBorder="1"/>
    <xf numFmtId="0" fontId="31" fillId="14" borderId="4" xfId="0" applyFont="1" applyFill="1" applyBorder="1" applyAlignment="1">
      <alignment horizontal="left"/>
    </xf>
    <xf numFmtId="0" fontId="16" fillId="18" borderId="4" xfId="0" applyFont="1" applyFill="1" applyBorder="1"/>
    <xf numFmtId="0" fontId="3" fillId="18" borderId="4" xfId="0" applyFont="1" applyFill="1" applyBorder="1"/>
    <xf numFmtId="0" fontId="13" fillId="9" borderId="4" xfId="0" applyFont="1" applyFill="1" applyBorder="1"/>
    <xf numFmtId="0" fontId="32" fillId="9" borderId="4" xfId="0" applyFont="1" applyFill="1" applyBorder="1"/>
    <xf numFmtId="0" fontId="32" fillId="5" borderId="4" xfId="0" applyFont="1" applyFill="1" applyBorder="1"/>
    <xf numFmtId="0" fontId="23" fillId="9" borderId="4" xfId="0" applyFont="1" applyFill="1" applyBorder="1"/>
    <xf numFmtId="0" fontId="13" fillId="11" borderId="4" xfId="0" applyFont="1" applyFill="1" applyBorder="1"/>
    <xf numFmtId="0" fontId="34" fillId="14" borderId="4" xfId="0" applyFont="1" applyFill="1" applyBorder="1"/>
    <xf numFmtId="0" fontId="15" fillId="17" borderId="4" xfId="0" applyFont="1" applyFill="1" applyBorder="1"/>
    <xf numFmtId="0" fontId="35" fillId="17" borderId="4" xfId="0" applyFont="1" applyFill="1" applyBorder="1"/>
    <xf numFmtId="0" fontId="25" fillId="17" borderId="4" xfId="0" applyFont="1" applyFill="1" applyBorder="1"/>
    <xf numFmtId="0" fontId="25" fillId="0" borderId="0" xfId="0" applyFont="1"/>
    <xf numFmtId="0" fontId="13" fillId="4" borderId="4" xfId="0" applyFont="1" applyFill="1" applyBorder="1"/>
    <xf numFmtId="0" fontId="32" fillId="4" borderId="4" xfId="0" applyFont="1" applyFill="1" applyBorder="1"/>
    <xf numFmtId="0" fontId="34" fillId="4" borderId="4" xfId="0" applyFont="1" applyFill="1" applyBorder="1"/>
    <xf numFmtId="0" fontId="3" fillId="4" borderId="4" xfId="0" applyFont="1" applyFill="1" applyBorder="1"/>
    <xf numFmtId="0" fontId="36" fillId="4" borderId="4" xfId="0" applyFont="1" applyFill="1" applyBorder="1"/>
    <xf numFmtId="0" fontId="20" fillId="14" borderId="4" xfId="0" applyFont="1" applyFill="1" applyBorder="1"/>
    <xf numFmtId="0" fontId="21" fillId="14" borderId="4" xfId="0" applyFont="1" applyFill="1" applyBorder="1"/>
    <xf numFmtId="0" fontId="32" fillId="0" borderId="0" xfId="0" applyFont="1"/>
    <xf numFmtId="0" fontId="37" fillId="2" borderId="4" xfId="0" applyFont="1" applyFill="1" applyBorder="1" applyAlignment="1">
      <alignment horizontal="left"/>
    </xf>
    <xf numFmtId="0" fontId="37" fillId="2" borderId="4" xfId="0" applyFont="1" applyFill="1" applyBorder="1"/>
    <xf numFmtId="0" fontId="38" fillId="5" borderId="4" xfId="0" applyFont="1" applyFill="1" applyBorder="1"/>
    <xf numFmtId="0" fontId="39" fillId="5" borderId="4" xfId="0" applyFont="1" applyFill="1" applyBorder="1"/>
    <xf numFmtId="0" fontId="40" fillId="13" borderId="4" xfId="0" applyFont="1" applyFill="1" applyBorder="1"/>
    <xf numFmtId="0" fontId="41" fillId="13" borderId="4" xfId="0" applyFont="1" applyFill="1" applyBorder="1"/>
    <xf numFmtId="0" fontId="42" fillId="2" borderId="4" xfId="0" applyFont="1" applyFill="1" applyBorder="1"/>
    <xf numFmtId="0" fontId="5" fillId="2" borderId="4" xfId="0" applyFont="1" applyFill="1" applyBorder="1"/>
    <xf numFmtId="0" fontId="8" fillId="4" borderId="14" xfId="0" applyFont="1" applyFill="1" applyBorder="1"/>
    <xf numFmtId="0" fontId="10" fillId="4" borderId="5" xfId="0" applyFont="1" applyFill="1" applyBorder="1"/>
    <xf numFmtId="0" fontId="11" fillId="4" borderId="5" xfId="0" applyFont="1" applyFill="1" applyBorder="1"/>
    <xf numFmtId="0" fontId="16" fillId="6" borderId="5" xfId="0" applyFont="1" applyFill="1" applyBorder="1" applyAlignment="1">
      <alignment horizontal="center"/>
    </xf>
    <xf numFmtId="0" fontId="18" fillId="11" borderId="4" xfId="0" applyFont="1" applyFill="1" applyBorder="1"/>
    <xf numFmtId="0" fontId="12" fillId="11" borderId="4" xfId="0" applyFont="1" applyFill="1" applyBorder="1"/>
    <xf numFmtId="0" fontId="31" fillId="11" borderId="4" xfId="0" applyFont="1" applyFill="1" applyBorder="1"/>
    <xf numFmtId="0" fontId="10" fillId="14" borderId="5" xfId="0" applyFont="1" applyFill="1" applyBorder="1"/>
    <xf numFmtId="2" fontId="3" fillId="6" borderId="5" xfId="0" applyNumberFormat="1" applyFont="1" applyFill="1" applyBorder="1"/>
    <xf numFmtId="0" fontId="31" fillId="0" borderId="0" xfId="0" applyFont="1"/>
    <xf numFmtId="0" fontId="31" fillId="6" borderId="4" xfId="0" applyFont="1" applyFill="1" applyBorder="1"/>
    <xf numFmtId="0" fontId="16" fillId="6" borderId="4" xfId="0" applyFont="1" applyFill="1" applyBorder="1"/>
    <xf numFmtId="0" fontId="3" fillId="14" borderId="5" xfId="0" applyFont="1" applyFill="1" applyBorder="1" applyAlignment="1">
      <alignment horizontal="center"/>
    </xf>
    <xf numFmtId="2" fontId="3" fillId="5" borderId="5" xfId="0" applyNumberFormat="1" applyFont="1" applyFill="1" applyBorder="1"/>
    <xf numFmtId="164" fontId="3" fillId="5" borderId="5" xfId="0" applyNumberFormat="1" applyFont="1" applyFill="1" applyBorder="1"/>
    <xf numFmtId="0" fontId="12" fillId="14" borderId="5" xfId="0" applyFont="1" applyFill="1" applyBorder="1"/>
    <xf numFmtId="0" fontId="16" fillId="9" borderId="4" xfId="0" applyFont="1" applyFill="1" applyBorder="1"/>
    <xf numFmtId="0" fontId="41" fillId="19" borderId="4" xfId="0" applyFont="1" applyFill="1" applyBorder="1"/>
    <xf numFmtId="0" fontId="40" fillId="19" borderId="4" xfId="0" applyFont="1" applyFill="1" applyBorder="1"/>
    <xf numFmtId="0" fontId="43" fillId="10" borderId="4" xfId="0" applyFont="1" applyFill="1" applyBorder="1"/>
    <xf numFmtId="0" fontId="23" fillId="10" borderId="4" xfId="0" applyFont="1" applyFill="1" applyBorder="1"/>
    <xf numFmtId="0" fontId="24" fillId="10" borderId="4" xfId="0" applyFont="1" applyFill="1" applyBorder="1"/>
    <xf numFmtId="0" fontId="32" fillId="10" borderId="4" xfId="0" applyFont="1" applyFill="1" applyBorder="1"/>
    <xf numFmtId="0" fontId="44" fillId="19" borderId="4" xfId="0" applyFont="1" applyFill="1" applyBorder="1" applyAlignment="1">
      <alignment horizontal="left"/>
    </xf>
    <xf numFmtId="0" fontId="44" fillId="19" borderId="4" xfId="0" applyFont="1" applyFill="1" applyBorder="1"/>
    <xf numFmtId="0" fontId="45" fillId="19" borderId="4" xfId="0" applyFont="1" applyFill="1" applyBorder="1"/>
    <xf numFmtId="0" fontId="46" fillId="6" borderId="4" xfId="0" applyFont="1" applyFill="1" applyBorder="1"/>
    <xf numFmtId="0" fontId="24" fillId="6" borderId="4" xfId="0" applyFont="1" applyFill="1" applyBorder="1"/>
    <xf numFmtId="0" fontId="3" fillId="6" borderId="4" xfId="0" applyFont="1" applyFill="1" applyBorder="1"/>
    <xf numFmtId="0" fontId="16" fillId="20" borderId="5" xfId="0" applyFont="1" applyFill="1" applyBorder="1"/>
    <xf numFmtId="0" fontId="3" fillId="20" borderId="5" xfId="0" applyFont="1" applyFill="1" applyBorder="1" applyAlignment="1">
      <alignment horizontal="center"/>
    </xf>
    <xf numFmtId="0" fontId="23" fillId="6" borderId="4" xfId="0" applyFont="1" applyFill="1" applyBorder="1"/>
    <xf numFmtId="0" fontId="8" fillId="20" borderId="5" xfId="0" applyFont="1" applyFill="1" applyBorder="1" applyAlignment="1">
      <alignment horizontal="center"/>
    </xf>
    <xf numFmtId="0" fontId="11" fillId="20" borderId="5" xfId="0" applyFont="1" applyFill="1" applyBorder="1" applyAlignment="1">
      <alignment horizontal="center"/>
    </xf>
    <xf numFmtId="0" fontId="13" fillId="6" borderId="4" xfId="0" applyFont="1" applyFill="1" applyBorder="1"/>
    <xf numFmtId="0" fontId="3" fillId="14" borderId="5" xfId="0" applyFont="1" applyFill="1" applyBorder="1"/>
    <xf numFmtId="0" fontId="16" fillId="14" borderId="4" xfId="0" applyFont="1" applyFill="1" applyBorder="1"/>
    <xf numFmtId="0" fontId="16" fillId="0" borderId="5" xfId="0" applyFont="1" applyBorder="1"/>
    <xf numFmtId="165" fontId="3" fillId="10" borderId="5" xfId="0" applyNumberFormat="1" applyFont="1" applyFill="1" applyBorder="1" applyAlignment="1">
      <alignment horizontal="center"/>
    </xf>
    <xf numFmtId="165" fontId="3" fillId="6" borderId="5" xfId="0" applyNumberFormat="1" applyFont="1" applyFill="1" applyBorder="1" applyAlignment="1">
      <alignment horizontal="center"/>
    </xf>
    <xf numFmtId="0" fontId="13" fillId="11" borderId="15" xfId="0" applyFont="1" applyFill="1" applyBorder="1" applyAlignment="1">
      <alignment horizontal="left"/>
    </xf>
    <xf numFmtId="0" fontId="13" fillId="0" borderId="0" xfId="0" applyFont="1"/>
    <xf numFmtId="0" fontId="13" fillId="11" borderId="4" xfId="0" applyFont="1" applyFill="1" applyBorder="1" applyAlignment="1">
      <alignment horizontal="left"/>
    </xf>
    <xf numFmtId="0" fontId="15" fillId="20" borderId="5" xfId="0" applyFont="1" applyFill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16" fillId="21" borderId="5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15" fillId="2" borderId="4" xfId="0" applyFont="1" applyFill="1" applyBorder="1"/>
    <xf numFmtId="0" fontId="11" fillId="2" borderId="4" xfId="0" applyFont="1" applyFill="1" applyBorder="1"/>
    <xf numFmtId="0" fontId="8" fillId="20" borderId="5" xfId="0" applyFont="1" applyFill="1" applyBorder="1"/>
    <xf numFmtId="165" fontId="3" fillId="5" borderId="5" xfId="0" applyNumberFormat="1" applyFont="1" applyFill="1" applyBorder="1"/>
    <xf numFmtId="165" fontId="3" fillId="6" borderId="5" xfId="0" applyNumberFormat="1" applyFont="1" applyFill="1" applyBorder="1"/>
    <xf numFmtId="0" fontId="25" fillId="9" borderId="16" xfId="0" applyFont="1" applyFill="1" applyBorder="1"/>
    <xf numFmtId="0" fontId="25" fillId="9" borderId="17" xfId="0" applyFont="1" applyFill="1" applyBorder="1"/>
    <xf numFmtId="0" fontId="15" fillId="9" borderId="17" xfId="0" applyFont="1" applyFill="1" applyBorder="1"/>
    <xf numFmtId="0" fontId="25" fillId="9" borderId="14" xfId="0" applyFont="1" applyFill="1" applyBorder="1"/>
    <xf numFmtId="0" fontId="19" fillId="0" borderId="0" xfId="0" applyFont="1"/>
    <xf numFmtId="0" fontId="24" fillId="9" borderId="4" xfId="0" applyFont="1" applyFill="1" applyBorder="1"/>
    <xf numFmtId="0" fontId="13" fillId="14" borderId="5" xfId="0" applyFont="1" applyFill="1" applyBorder="1" applyAlignment="1">
      <alignment horizontal="center"/>
    </xf>
    <xf numFmtId="0" fontId="23" fillId="14" borderId="5" xfId="0" applyFont="1" applyFill="1" applyBorder="1" applyAlignment="1">
      <alignment horizontal="center"/>
    </xf>
    <xf numFmtId="0" fontId="13" fillId="14" borderId="5" xfId="0" applyFont="1" applyFill="1" applyBorder="1"/>
    <xf numFmtId="0" fontId="9" fillId="14" borderId="14" xfId="0" applyFont="1" applyFill="1" applyBorder="1" applyAlignment="1">
      <alignment horizontal="center"/>
    </xf>
    <xf numFmtId="0" fontId="9" fillId="14" borderId="5" xfId="0" applyFont="1" applyFill="1" applyBorder="1" applyAlignment="1">
      <alignment horizontal="center"/>
    </xf>
    <xf numFmtId="0" fontId="47" fillId="14" borderId="5" xfId="0" applyFont="1" applyFill="1" applyBorder="1" applyAlignment="1">
      <alignment horizontal="center"/>
    </xf>
    <xf numFmtId="0" fontId="10" fillId="14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48" fillId="0" borderId="0" xfId="0" applyFont="1"/>
    <xf numFmtId="0" fontId="12" fillId="9" borderId="4" xfId="0" applyFont="1" applyFill="1" applyBorder="1"/>
    <xf numFmtId="0" fontId="49" fillId="14" borderId="5" xfId="0" applyFont="1" applyFill="1" applyBorder="1"/>
    <xf numFmtId="0" fontId="50" fillId="14" borderId="4" xfId="0" applyFont="1" applyFill="1" applyBorder="1"/>
    <xf numFmtId="0" fontId="51" fillId="14" borderId="5" xfId="0" applyFont="1" applyFill="1" applyBorder="1" applyAlignment="1">
      <alignment horizontal="center"/>
    </xf>
    <xf numFmtId="0" fontId="16" fillId="18" borderId="5" xfId="0" applyFont="1" applyFill="1" applyBorder="1" applyAlignment="1">
      <alignment horizontal="center"/>
    </xf>
    <xf numFmtId="2" fontId="16" fillId="18" borderId="5" xfId="0" applyNumberFormat="1" applyFont="1" applyFill="1" applyBorder="1" applyAlignment="1">
      <alignment horizontal="center"/>
    </xf>
    <xf numFmtId="164" fontId="3" fillId="0" borderId="0" xfId="0" applyNumberFormat="1" applyFont="1"/>
    <xf numFmtId="0" fontId="40" fillId="0" borderId="0" xfId="0" applyFont="1" applyAlignment="1">
      <alignment horizontal="left"/>
    </xf>
    <xf numFmtId="0" fontId="29" fillId="0" borderId="0" xfId="0" applyFont="1"/>
    <xf numFmtId="0" fontId="23" fillId="14" borderId="5" xfId="0" applyFont="1" applyFill="1" applyBorder="1"/>
    <xf numFmtId="0" fontId="52" fillId="14" borderId="14" xfId="0" applyFont="1" applyFill="1" applyBorder="1" applyAlignment="1">
      <alignment horizontal="center"/>
    </xf>
    <xf numFmtId="0" fontId="48" fillId="14" borderId="5" xfId="0" applyFont="1" applyFill="1" applyBorder="1" applyAlignment="1">
      <alignment horizontal="center"/>
    </xf>
    <xf numFmtId="0" fontId="52" fillId="14" borderId="5" xfId="0" applyFont="1" applyFill="1" applyBorder="1" applyAlignment="1">
      <alignment horizontal="center"/>
    </xf>
    <xf numFmtId="0" fontId="48" fillId="14" borderId="16" xfId="0" applyFont="1" applyFill="1" applyBorder="1" applyAlignment="1">
      <alignment horizontal="center"/>
    </xf>
    <xf numFmtId="164" fontId="3" fillId="11" borderId="5" xfId="0" applyNumberFormat="1" applyFont="1" applyFill="1" applyBorder="1"/>
    <xf numFmtId="164" fontId="3" fillId="22" borderId="5" xfId="0" applyNumberFormat="1" applyFont="1" applyFill="1" applyBorder="1"/>
    <xf numFmtId="1" fontId="3" fillId="0" borderId="5" xfId="0" applyNumberFormat="1" applyFont="1" applyBorder="1"/>
    <xf numFmtId="2" fontId="3" fillId="11" borderId="5" xfId="0" applyNumberFormat="1" applyFont="1" applyFill="1" applyBorder="1"/>
    <xf numFmtId="2" fontId="3" fillId="22" borderId="5" xfId="0" applyNumberFormat="1" applyFont="1" applyFill="1" applyBorder="1"/>
    <xf numFmtId="165" fontId="3" fillId="11" borderId="5" xfId="0" applyNumberFormat="1" applyFont="1" applyFill="1" applyBorder="1"/>
    <xf numFmtId="165" fontId="3" fillId="22" borderId="5" xfId="0" applyNumberFormat="1" applyFont="1" applyFill="1" applyBorder="1"/>
    <xf numFmtId="164" fontId="3" fillId="0" borderId="5" xfId="0" applyNumberFormat="1" applyFont="1" applyBorder="1"/>
    <xf numFmtId="0" fontId="16" fillId="23" borderId="4" xfId="0" applyFont="1" applyFill="1" applyBorder="1"/>
    <xf numFmtId="0" fontId="3" fillId="23" borderId="4" xfId="0" applyFont="1" applyFill="1" applyBorder="1"/>
    <xf numFmtId="0" fontId="24" fillId="0" borderId="0" xfId="0" applyFont="1"/>
    <xf numFmtId="0" fontId="36" fillId="9" borderId="4" xfId="0" applyFont="1" applyFill="1" applyBorder="1"/>
    <xf numFmtId="0" fontId="36" fillId="11" borderId="4" xfId="0" applyFont="1" applyFill="1" applyBorder="1"/>
    <xf numFmtId="0" fontId="36" fillId="18" borderId="4" xfId="0" applyFont="1" applyFill="1" applyBorder="1"/>
    <xf numFmtId="0" fontId="32" fillId="18" borderId="4" xfId="0" applyFont="1" applyFill="1" applyBorder="1"/>
    <xf numFmtId="0" fontId="13" fillId="22" borderId="4" xfId="0" applyFont="1" applyFill="1" applyBorder="1"/>
    <xf numFmtId="0" fontId="32" fillId="22" borderId="4" xfId="0" applyFont="1" applyFill="1" applyBorder="1"/>
    <xf numFmtId="0" fontId="3" fillId="22" borderId="4" xfId="0" applyFont="1" applyFill="1" applyBorder="1"/>
    <xf numFmtId="0" fontId="36" fillId="14" borderId="4" xfId="0" applyFont="1" applyFill="1" applyBorder="1"/>
    <xf numFmtId="0" fontId="20" fillId="2" borderId="4" xfId="0" applyFont="1" applyFill="1" applyBorder="1"/>
    <xf numFmtId="0" fontId="53" fillId="13" borderId="4" xfId="0" applyFont="1" applyFill="1" applyBorder="1"/>
    <xf numFmtId="0" fontId="54" fillId="3" borderId="5" xfId="0" applyFont="1" applyFill="1" applyBorder="1"/>
    <xf numFmtId="0" fontId="8" fillId="14" borderId="14" xfId="0" applyFont="1" applyFill="1" applyBorder="1"/>
    <xf numFmtId="0" fontId="11" fillId="14" borderId="5" xfId="0" applyFont="1" applyFill="1" applyBorder="1"/>
    <xf numFmtId="0" fontId="16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16" fillId="6" borderId="4" xfId="0" applyFont="1" applyFill="1" applyBorder="1" applyAlignment="1">
      <alignment horizontal="left"/>
    </xf>
    <xf numFmtId="0" fontId="16" fillId="6" borderId="4" xfId="0" applyFont="1" applyFill="1" applyBorder="1" applyAlignment="1">
      <alignment horizontal="center"/>
    </xf>
    <xf numFmtId="0" fontId="54" fillId="3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5" borderId="5" xfId="0" applyFont="1" applyFill="1" applyBorder="1"/>
    <xf numFmtId="2" fontId="3" fillId="6" borderId="5" xfId="0" applyNumberFormat="1" applyFont="1" applyFill="1" applyBorder="1" applyAlignment="1">
      <alignment horizontal="left"/>
    </xf>
    <xf numFmtId="164" fontId="3" fillId="6" borderId="5" xfId="0" applyNumberFormat="1" applyFont="1" applyFill="1" applyBorder="1"/>
    <xf numFmtId="1" fontId="3" fillId="6" borderId="5" xfId="0" applyNumberFormat="1" applyFont="1" applyFill="1" applyBorder="1"/>
    <xf numFmtId="0" fontId="13" fillId="9" borderId="4" xfId="0" applyFont="1" applyFill="1" applyBorder="1" applyAlignment="1">
      <alignment horizontal="left"/>
    </xf>
    <xf numFmtId="0" fontId="13" fillId="9" borderId="4" xfId="0" applyFont="1" applyFill="1" applyBorder="1" applyAlignment="1">
      <alignment horizontal="right"/>
    </xf>
    <xf numFmtId="0" fontId="48" fillId="9" borderId="4" xfId="0" applyFont="1" applyFill="1" applyBorder="1" applyAlignment="1">
      <alignment horizontal="left"/>
    </xf>
    <xf numFmtId="0" fontId="48" fillId="9" borderId="4" xfId="0" applyFont="1" applyFill="1" applyBorder="1"/>
    <xf numFmtId="0" fontId="55" fillId="9" borderId="4" xfId="0" applyFont="1" applyFill="1" applyBorder="1"/>
    <xf numFmtId="0" fontId="15" fillId="3" borderId="5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8" fillId="14" borderId="5" xfId="0" applyNumberFormat="1" applyFont="1" applyFill="1" applyBorder="1"/>
    <xf numFmtId="2" fontId="10" fillId="14" borderId="5" xfId="0" applyNumberFormat="1" applyFont="1" applyFill="1" applyBorder="1"/>
    <xf numFmtId="0" fontId="26" fillId="9" borderId="4" xfId="0" applyFont="1" applyFill="1" applyBorder="1"/>
    <xf numFmtId="0" fontId="6" fillId="0" borderId="0" xfId="0" applyFont="1"/>
    <xf numFmtId="0" fontId="42" fillId="0" borderId="0" xfId="0" applyFont="1"/>
    <xf numFmtId="0" fontId="3" fillId="3" borderId="6" xfId="0" applyFont="1" applyFill="1" applyBorder="1" applyAlignment="1">
      <alignment horizontal="center"/>
    </xf>
    <xf numFmtId="0" fontId="3" fillId="5" borderId="6" xfId="0" applyFont="1" applyFill="1" applyBorder="1"/>
    <xf numFmtId="2" fontId="3" fillId="6" borderId="6" xfId="0" applyNumberFormat="1" applyFont="1" applyFill="1" applyBorder="1"/>
    <xf numFmtId="164" fontId="3" fillId="6" borderId="6" xfId="0" applyNumberFormat="1" applyFont="1" applyFill="1" applyBorder="1"/>
    <xf numFmtId="1" fontId="3" fillId="6" borderId="6" xfId="0" applyNumberFormat="1" applyFont="1" applyFill="1" applyBorder="1"/>
    <xf numFmtId="1" fontId="3" fillId="6" borderId="16" xfId="0" applyNumberFormat="1" applyFont="1" applyFill="1" applyBorder="1"/>
    <xf numFmtId="0" fontId="3" fillId="0" borderId="24" xfId="0" applyFont="1" applyBorder="1"/>
    <xf numFmtId="0" fontId="3" fillId="3" borderId="11" xfId="0" applyFont="1" applyFill="1" applyBorder="1" applyAlignment="1">
      <alignment horizontal="center"/>
    </xf>
    <xf numFmtId="0" fontId="3" fillId="5" borderId="11" xfId="0" applyFont="1" applyFill="1" applyBorder="1"/>
    <xf numFmtId="2" fontId="3" fillId="6" borderId="11" xfId="0" applyNumberFormat="1" applyFont="1" applyFill="1" applyBorder="1"/>
    <xf numFmtId="1" fontId="3" fillId="6" borderId="11" xfId="0" applyNumberFormat="1" applyFont="1" applyFill="1" applyBorder="1"/>
    <xf numFmtId="1" fontId="3" fillId="0" borderId="0" xfId="0" applyNumberFormat="1" applyFont="1" applyAlignment="1">
      <alignment horizontal="center"/>
    </xf>
    <xf numFmtId="1" fontId="11" fillId="14" borderId="5" xfId="0" applyNumberFormat="1" applyFont="1" applyFill="1" applyBorder="1"/>
    <xf numFmtId="0" fontId="32" fillId="5" borderId="11" xfId="0" applyFont="1" applyFill="1" applyBorder="1" applyAlignment="1">
      <alignment horizontal="center"/>
    </xf>
    <xf numFmtId="0" fontId="16" fillId="21" borderId="4" xfId="0" applyFont="1" applyFill="1" applyBorder="1" applyAlignment="1">
      <alignment horizontal="center"/>
    </xf>
    <xf numFmtId="0" fontId="3" fillId="21" borderId="4" xfId="0" applyFont="1" applyFill="1" applyBorder="1"/>
    <xf numFmtId="0" fontId="31" fillId="9" borderId="4" xfId="0" applyFont="1" applyFill="1" applyBorder="1"/>
    <xf numFmtId="0" fontId="31" fillId="9" borderId="4" xfId="0" applyFont="1" applyFill="1" applyBorder="1" applyAlignment="1">
      <alignment horizontal="left"/>
    </xf>
    <xf numFmtId="0" fontId="23" fillId="10" borderId="4" xfId="0" applyFont="1" applyFill="1" applyBorder="1" applyAlignment="1">
      <alignment horizontal="left"/>
    </xf>
    <xf numFmtId="0" fontId="2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10" fillId="14" borderId="5" xfId="0" applyNumberFormat="1" applyFont="1" applyFill="1" applyBorder="1"/>
    <xf numFmtId="0" fontId="56" fillId="2" borderId="4" xfId="0" applyFont="1" applyFill="1" applyBorder="1"/>
    <xf numFmtId="0" fontId="41" fillId="13" borderId="4" xfId="0" applyFont="1" applyFill="1" applyBorder="1" applyAlignment="1">
      <alignment horizontal="left"/>
    </xf>
    <xf numFmtId="0" fontId="7" fillId="13" borderId="4" xfId="0" applyFont="1" applyFill="1" applyBorder="1"/>
    <xf numFmtId="0" fontId="16" fillId="22" borderId="4" xfId="0" applyFont="1" applyFill="1" applyBorder="1" applyAlignment="1">
      <alignment horizontal="center"/>
    </xf>
    <xf numFmtId="0" fontId="23" fillId="20" borderId="4" xfId="0" applyFont="1" applyFill="1" applyBorder="1"/>
    <xf numFmtId="0" fontId="24" fillId="20" borderId="4" xfId="0" applyFont="1" applyFill="1" applyBorder="1"/>
    <xf numFmtId="0" fontId="8" fillId="9" borderId="5" xfId="0" applyFont="1" applyFill="1" applyBorder="1"/>
    <xf numFmtId="0" fontId="10" fillId="9" borderId="5" xfId="0" applyFont="1" applyFill="1" applyBorder="1"/>
    <xf numFmtId="0" fontId="11" fillId="9" borderId="5" xfId="0" applyFont="1" applyFill="1" applyBorder="1"/>
    <xf numFmtId="0" fontId="3" fillId="14" borderId="11" xfId="0" applyFont="1" applyFill="1" applyBorder="1"/>
    <xf numFmtId="1" fontId="3" fillId="5" borderId="5" xfId="0" applyNumberFormat="1" applyFont="1" applyFill="1" applyBorder="1"/>
    <xf numFmtId="0" fontId="12" fillId="6" borderId="4" xfId="0" applyFont="1" applyFill="1" applyBorder="1"/>
    <xf numFmtId="166" fontId="3" fillId="6" borderId="5" xfId="0" applyNumberFormat="1" applyFont="1" applyFill="1" applyBorder="1" applyAlignment="1">
      <alignment horizontal="center"/>
    </xf>
    <xf numFmtId="166" fontId="3" fillId="6" borderId="5" xfId="0" applyNumberFormat="1" applyFont="1" applyFill="1" applyBorder="1"/>
    <xf numFmtId="0" fontId="3" fillId="14" borderId="25" xfId="0" applyFont="1" applyFill="1" applyBorder="1"/>
    <xf numFmtId="0" fontId="46" fillId="6" borderId="5" xfId="0" applyFont="1" applyFill="1" applyBorder="1"/>
    <xf numFmtId="0" fontId="16" fillId="23" borderId="4" xfId="0" applyFont="1" applyFill="1" applyBorder="1" applyAlignment="1">
      <alignment horizontal="center"/>
    </xf>
    <xf numFmtId="0" fontId="32" fillId="11" borderId="4" xfId="0" applyFont="1" applyFill="1" applyBorder="1"/>
    <xf numFmtId="0" fontId="16" fillId="18" borderId="4" xfId="0" applyFont="1" applyFill="1" applyBorder="1" applyAlignment="1">
      <alignment horizontal="center"/>
    </xf>
    <xf numFmtId="0" fontId="16" fillId="14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2" fontId="16" fillId="2" borderId="5" xfId="0" applyNumberFormat="1" applyFont="1" applyFill="1" applyBorder="1" applyAlignment="1">
      <alignment horizontal="center"/>
    </xf>
    <xf numFmtId="2" fontId="3" fillId="2" borderId="5" xfId="0" applyNumberFormat="1" applyFont="1" applyFill="1" applyBorder="1"/>
    <xf numFmtId="0" fontId="16" fillId="9" borderId="4" xfId="0" applyFont="1" applyFill="1" applyBorder="1" applyAlignment="1">
      <alignment horizontal="left"/>
    </xf>
    <xf numFmtId="0" fontId="13" fillId="9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16" fillId="15" borderId="4" xfId="0" applyFont="1" applyFill="1" applyBorder="1" applyAlignment="1">
      <alignment horizontal="center"/>
    </xf>
    <xf numFmtId="0" fontId="46" fillId="0" borderId="5" xfId="0" applyFont="1" applyBorder="1"/>
    <xf numFmtId="0" fontId="3" fillId="0" borderId="5" xfId="0" applyFont="1" applyBorder="1"/>
    <xf numFmtId="0" fontId="16" fillId="11" borderId="26" xfId="0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46" fillId="0" borderId="0" xfId="0" applyFont="1"/>
    <xf numFmtId="0" fontId="23" fillId="6" borderId="15" xfId="0" applyFont="1" applyFill="1" applyBorder="1" applyAlignment="1">
      <alignment horizontal="center"/>
    </xf>
    <xf numFmtId="0" fontId="16" fillId="10" borderId="26" xfId="0" applyFont="1" applyFill="1" applyBorder="1" applyAlignment="1">
      <alignment horizontal="center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12" xfId="0" applyFont="1" applyBorder="1"/>
    <xf numFmtId="0" fontId="2" fillId="0" borderId="13" xfId="0" applyFont="1" applyBorder="1"/>
    <xf numFmtId="0" fontId="20" fillId="2" borderId="18" xfId="0" applyFont="1" applyFill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41" fillId="1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hartsheet" Target="chartsheets/sheet6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2.xml"/><Relationship Id="rId12" Type="http://schemas.openxmlformats.org/officeDocument/2006/relationships/chartsheet" Target="chartsheets/sheet5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hartsheet" Target="chartsheets/sheet4.xml"/><Relationship Id="rId5" Type="http://schemas.openxmlformats.org/officeDocument/2006/relationships/worksheet" Target="worksheets/sheet4.xml"/><Relationship Id="rId10" Type="http://schemas.openxmlformats.org/officeDocument/2006/relationships/worksheet" Target="worksheets/sheet7.xml"/><Relationship Id="rId19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3.xml"/><Relationship Id="rId14" Type="http://schemas.openxmlformats.org/officeDocument/2006/relationships/chartsheet" Target="chartsheets/sheet7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Hoja3!$C$3:$C$10</c:f>
                <c:numCache>
                  <c:formatCode>General</c:formatCode>
                  <c:ptCount val="8"/>
                  <c:pt idx="0">
                    <c:v>0.27819074333800842</c:v>
                  </c:pt>
                  <c:pt idx="1">
                    <c:v>0.35984023238925228</c:v>
                  </c:pt>
                  <c:pt idx="2">
                    <c:v>0.60362517099863122</c:v>
                  </c:pt>
                  <c:pt idx="3">
                    <c:v>6.557651991614255E-2</c:v>
                  </c:pt>
                  <c:pt idx="4">
                    <c:v>0.46595365418894846</c:v>
                  </c:pt>
                  <c:pt idx="5">
                    <c:v>0.62250639386189255</c:v>
                  </c:pt>
                  <c:pt idx="6">
                    <c:v>0.16713235294117648</c:v>
                  </c:pt>
                  <c:pt idx="7">
                    <c:v>5.1059289742417337E-2</c:v>
                  </c:pt>
                </c:numCache>
              </c:numRef>
            </c:plus>
            <c:minus>
              <c:numRef>
                <c:f>Hoja3!$C$3:$C$10</c:f>
                <c:numCache>
                  <c:formatCode>General</c:formatCode>
                  <c:ptCount val="8"/>
                  <c:pt idx="0">
                    <c:v>0.27819074333800842</c:v>
                  </c:pt>
                  <c:pt idx="1">
                    <c:v>0.35984023238925228</c:v>
                  </c:pt>
                  <c:pt idx="2">
                    <c:v>0.60362517099863122</c:v>
                  </c:pt>
                  <c:pt idx="3">
                    <c:v>6.557651991614255E-2</c:v>
                  </c:pt>
                  <c:pt idx="4">
                    <c:v>0.46595365418894846</c:v>
                  </c:pt>
                  <c:pt idx="5">
                    <c:v>0.62250639386189255</c:v>
                  </c:pt>
                  <c:pt idx="6">
                    <c:v>0.16713235294117648</c:v>
                  </c:pt>
                  <c:pt idx="7">
                    <c:v>5.1059289742417337E-2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Hoja3!$B$3:$B$10</c:f>
              <c:numCache>
                <c:formatCode>0.0</c:formatCode>
                <c:ptCount val="8"/>
                <c:pt idx="0">
                  <c:v>4.0322580645161299</c:v>
                </c:pt>
                <c:pt idx="1">
                  <c:v>6.3950617283950661</c:v>
                </c:pt>
                <c:pt idx="2">
                  <c:v>9.6976744186046417</c:v>
                </c:pt>
                <c:pt idx="3" formatCode="0.00">
                  <c:v>1.1698113207547169</c:v>
                </c:pt>
                <c:pt idx="4">
                  <c:v>7.2727272727272751</c:v>
                </c:pt>
                <c:pt idx="5">
                  <c:v>8.3478260869565197</c:v>
                </c:pt>
                <c:pt idx="6">
                  <c:v>2.625</c:v>
                </c:pt>
                <c:pt idx="7" formatCode="0.00">
                  <c:v>0.83950617283950646</c:v>
                </c:pt>
              </c:numCache>
            </c:numRef>
          </c:xVal>
          <c:yVal>
            <c:numRef>
              <c:f>Hoja3!$I$3:$I$10</c:f>
              <c:numCache>
                <c:formatCode>General</c:formatCode>
                <c:ptCount val="8"/>
                <c:pt idx="0">
                  <c:v>1.1499999999999999</c:v>
                </c:pt>
                <c:pt idx="1">
                  <c:v>2.15</c:v>
                </c:pt>
                <c:pt idx="2">
                  <c:v>3.15</c:v>
                </c:pt>
                <c:pt idx="3">
                  <c:v>4.1500000000000004</c:v>
                </c:pt>
                <c:pt idx="4">
                  <c:v>5.15</c:v>
                </c:pt>
                <c:pt idx="5">
                  <c:v>6.15</c:v>
                </c:pt>
                <c:pt idx="6">
                  <c:v>7.15</c:v>
                </c:pt>
                <c:pt idx="7">
                  <c:v>8.15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BD-4EF0-90DF-89E55EE9BC0C}"/>
            </c:ext>
          </c:extLst>
        </c:ser>
        <c:ser>
          <c:idx val="1"/>
          <c:order val="1"/>
          <c:tx>
            <c:v>G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tx2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Hoja3!$F$3:$F$10</c:f>
                <c:numCache>
                  <c:formatCode>General</c:formatCode>
                  <c:ptCount val="8"/>
                  <c:pt idx="0">
                    <c:v>0.24231505102040812</c:v>
                  </c:pt>
                  <c:pt idx="1">
                    <c:v>3.2950424836805665E-2</c:v>
                  </c:pt>
                  <c:pt idx="2">
                    <c:v>0.40275060595567874</c:v>
                  </c:pt>
                  <c:pt idx="3">
                    <c:v>1.7482086167800455E-2</c:v>
                  </c:pt>
                  <c:pt idx="4">
                    <c:v>0.25517773292593426</c:v>
                  </c:pt>
                  <c:pt idx="5">
                    <c:v>0.20067931919076837</c:v>
                  </c:pt>
                  <c:pt idx="6">
                    <c:v>0.13413409073236535</c:v>
                  </c:pt>
                  <c:pt idx="7">
                    <c:v>3.0139782480943502E-3</c:v>
                  </c:pt>
                </c:numCache>
              </c:numRef>
            </c:plus>
            <c:minus>
              <c:numRef>
                <c:f>Hoja3!$F$3:$F$10</c:f>
                <c:numCache>
                  <c:formatCode>General</c:formatCode>
                  <c:ptCount val="8"/>
                  <c:pt idx="0">
                    <c:v>0.24231505102040812</c:v>
                  </c:pt>
                  <c:pt idx="1">
                    <c:v>3.2950424836805665E-2</c:v>
                  </c:pt>
                  <c:pt idx="2">
                    <c:v>0.40275060595567874</c:v>
                  </c:pt>
                  <c:pt idx="3">
                    <c:v>1.7482086167800455E-2</c:v>
                  </c:pt>
                  <c:pt idx="4">
                    <c:v>0.25517773292593426</c:v>
                  </c:pt>
                  <c:pt idx="5">
                    <c:v>0.20067931919076837</c:v>
                  </c:pt>
                  <c:pt idx="6">
                    <c:v>0.13413409073236535</c:v>
                  </c:pt>
                  <c:pt idx="7">
                    <c:v>3.0139782480943502E-3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Hoja3!$E$3:$E$10</c:f>
              <c:numCache>
                <c:formatCode>0.00</c:formatCode>
                <c:ptCount val="8"/>
                <c:pt idx="0" formatCode="0.0">
                  <c:v>4.4642857142857135</c:v>
                </c:pt>
                <c:pt idx="1">
                  <c:v>3.6905101168424048</c:v>
                </c:pt>
                <c:pt idx="2" formatCode="0.0">
                  <c:v>13.717105263157896</c:v>
                </c:pt>
                <c:pt idx="3">
                  <c:v>1.180952380952381</c:v>
                </c:pt>
                <c:pt idx="4" formatCode="0.0">
                  <c:v>8.7124819161752018</c:v>
                </c:pt>
                <c:pt idx="5" formatCode="0.0">
                  <c:v>7.5451232280602225</c:v>
                </c:pt>
                <c:pt idx="6" formatCode="0.0">
                  <c:v>2.9226093055880282</c:v>
                </c:pt>
                <c:pt idx="7" formatCode="0.000">
                  <c:v>0.69916599720047368</c:v>
                </c:pt>
              </c:numCache>
            </c:numRef>
          </c:xVal>
          <c:yVal>
            <c:numRef>
              <c:f>Hoja3!$H$3:$H$10</c:f>
              <c:numCache>
                <c:formatCode>General</c:formatCode>
                <c:ptCount val="8"/>
                <c:pt idx="0">
                  <c:v>0.85</c:v>
                </c:pt>
                <c:pt idx="1">
                  <c:v>1.85</c:v>
                </c:pt>
                <c:pt idx="2">
                  <c:v>2.85</c:v>
                </c:pt>
                <c:pt idx="3">
                  <c:v>3.85</c:v>
                </c:pt>
                <c:pt idx="4">
                  <c:v>4.8499999999999996</c:v>
                </c:pt>
                <c:pt idx="5">
                  <c:v>5.85</c:v>
                </c:pt>
                <c:pt idx="6">
                  <c:v>6.85</c:v>
                </c:pt>
                <c:pt idx="7">
                  <c:v>7.85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BD-4EF0-90DF-89E55EE9B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111560"/>
        <c:axId val="2013209874"/>
      </c:scatterChart>
      <c:valAx>
        <c:axId val="1386111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s-ES"/>
                  <a:t>(g/cm</a:t>
                </a:r>
                <a:r>
                  <a:rPr lang="es-ES" baseline="30000"/>
                  <a:t>-3</a:t>
                </a:r>
                <a:r>
                  <a:rPr lang="es-E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3209874"/>
        <c:crosses val="autoZero"/>
        <c:crossBetween val="midCat"/>
      </c:valAx>
      <c:valAx>
        <c:axId val="20132098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Muestra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6111560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Densidad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G1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Hoja5!$F$4:$F$11</c:f>
                <c:numCache>
                  <c:formatCode>General</c:formatCode>
                  <c:ptCount val="8"/>
                  <c:pt idx="0">
                    <c:v>0.24231505102040812</c:v>
                  </c:pt>
                  <c:pt idx="1">
                    <c:v>3.2950424836805665E-2</c:v>
                  </c:pt>
                  <c:pt idx="2">
                    <c:v>0.40275060595567874</c:v>
                  </c:pt>
                  <c:pt idx="3">
                    <c:v>1.7482086167800455E-2</c:v>
                  </c:pt>
                  <c:pt idx="4">
                    <c:v>0.25517773292593426</c:v>
                  </c:pt>
                  <c:pt idx="5">
                    <c:v>0.20067931919076837</c:v>
                  </c:pt>
                  <c:pt idx="6">
                    <c:v>0.13413409073236535</c:v>
                  </c:pt>
                  <c:pt idx="7">
                    <c:v>3.0139782480943502E-3</c:v>
                  </c:pt>
                </c:numCache>
              </c:numRef>
            </c:plus>
            <c:minus>
              <c:numRef>
                <c:f>Hoja5!$F$4:$F$11</c:f>
                <c:numCache>
                  <c:formatCode>General</c:formatCode>
                  <c:ptCount val="8"/>
                  <c:pt idx="0">
                    <c:v>0.24231505102040812</c:v>
                  </c:pt>
                  <c:pt idx="1">
                    <c:v>3.2950424836805665E-2</c:v>
                  </c:pt>
                  <c:pt idx="2">
                    <c:v>0.40275060595567874</c:v>
                  </c:pt>
                  <c:pt idx="3">
                    <c:v>1.7482086167800455E-2</c:v>
                  </c:pt>
                  <c:pt idx="4">
                    <c:v>0.25517773292593426</c:v>
                  </c:pt>
                  <c:pt idx="5">
                    <c:v>0.20067931919076837</c:v>
                  </c:pt>
                  <c:pt idx="6">
                    <c:v>0.13413409073236535</c:v>
                  </c:pt>
                  <c:pt idx="7">
                    <c:v>3.0139782480943502E-3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Hoja5!$E$4:$E$11</c:f>
              <c:numCache>
                <c:formatCode>0.00</c:formatCode>
                <c:ptCount val="8"/>
                <c:pt idx="0" formatCode="0.0">
                  <c:v>4.4642857142857135</c:v>
                </c:pt>
                <c:pt idx="1">
                  <c:v>3.6905101168424048</c:v>
                </c:pt>
                <c:pt idx="2" formatCode="0.0">
                  <c:v>13.717105263157896</c:v>
                </c:pt>
                <c:pt idx="3">
                  <c:v>1.180952380952381</c:v>
                </c:pt>
                <c:pt idx="4" formatCode="0.0">
                  <c:v>8.7124819161752018</c:v>
                </c:pt>
                <c:pt idx="5" formatCode="0.0">
                  <c:v>7.5451232280602225</c:v>
                </c:pt>
                <c:pt idx="6" formatCode="0.0">
                  <c:v>2.9226093055880282</c:v>
                </c:pt>
                <c:pt idx="7" formatCode="0.000">
                  <c:v>0.69916599720047368</c:v>
                </c:pt>
              </c:numCache>
            </c:numRef>
          </c:xVal>
          <c:yVal>
            <c:numRef>
              <c:f>Hoja5!$H$4:$H$11</c:f>
              <c:numCache>
                <c:formatCode>0.00</c:formatCode>
                <c:ptCount val="8"/>
                <c:pt idx="0">
                  <c:v>0.8</c:v>
                </c:pt>
                <c:pt idx="1">
                  <c:v>1.8</c:v>
                </c:pt>
                <c:pt idx="2">
                  <c:v>2.8</c:v>
                </c:pt>
                <c:pt idx="3">
                  <c:v>3.8</c:v>
                </c:pt>
                <c:pt idx="4">
                  <c:v>4.8</c:v>
                </c:pt>
                <c:pt idx="5">
                  <c:v>5.8</c:v>
                </c:pt>
                <c:pt idx="6">
                  <c:v>6.8</c:v>
                </c:pt>
                <c:pt idx="7">
                  <c:v>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D7-41BD-AF3D-51BCDDA9B2F9}"/>
            </c:ext>
          </c:extLst>
        </c:ser>
        <c:ser>
          <c:idx val="1"/>
          <c:order val="1"/>
          <c:tx>
            <c:v>H1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Hoja5!$C$4:$C$11</c:f>
                <c:numCache>
                  <c:formatCode>General</c:formatCode>
                  <c:ptCount val="8"/>
                  <c:pt idx="0">
                    <c:v>0.27819074333800842</c:v>
                  </c:pt>
                  <c:pt idx="1">
                    <c:v>0.35984023238925228</c:v>
                  </c:pt>
                  <c:pt idx="2">
                    <c:v>0.60362517099863122</c:v>
                  </c:pt>
                  <c:pt idx="3">
                    <c:v>6.557651991614255E-2</c:v>
                  </c:pt>
                  <c:pt idx="4">
                    <c:v>0.46595365418894846</c:v>
                  </c:pt>
                  <c:pt idx="5">
                    <c:v>0.62250639386189255</c:v>
                  </c:pt>
                  <c:pt idx="6">
                    <c:v>0.16713235294117648</c:v>
                  </c:pt>
                  <c:pt idx="7">
                    <c:v>5.1059289742417337E-2</c:v>
                  </c:pt>
                </c:numCache>
              </c:numRef>
            </c:plus>
            <c:minus>
              <c:numRef>
                <c:f>Hoja5!$C$4:$C$11</c:f>
                <c:numCache>
                  <c:formatCode>General</c:formatCode>
                  <c:ptCount val="8"/>
                  <c:pt idx="0">
                    <c:v>0.27819074333800842</c:v>
                  </c:pt>
                  <c:pt idx="1">
                    <c:v>0.35984023238925228</c:v>
                  </c:pt>
                  <c:pt idx="2">
                    <c:v>0.60362517099863122</c:v>
                  </c:pt>
                  <c:pt idx="3">
                    <c:v>6.557651991614255E-2</c:v>
                  </c:pt>
                  <c:pt idx="4">
                    <c:v>0.46595365418894846</c:v>
                  </c:pt>
                  <c:pt idx="5">
                    <c:v>0.62250639386189255</c:v>
                  </c:pt>
                  <c:pt idx="6">
                    <c:v>0.16713235294117648</c:v>
                  </c:pt>
                  <c:pt idx="7">
                    <c:v>5.1059289742417337E-2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Hoja5!$B$4:$B$11</c:f>
              <c:numCache>
                <c:formatCode>0.0</c:formatCode>
                <c:ptCount val="8"/>
                <c:pt idx="0">
                  <c:v>4.0322580645161299</c:v>
                </c:pt>
                <c:pt idx="1">
                  <c:v>6.3950617283950661</c:v>
                </c:pt>
                <c:pt idx="2">
                  <c:v>9.6976744186046417</c:v>
                </c:pt>
                <c:pt idx="3" formatCode="0.00">
                  <c:v>1.1698113207547169</c:v>
                </c:pt>
                <c:pt idx="4">
                  <c:v>7.2727272727272751</c:v>
                </c:pt>
                <c:pt idx="5">
                  <c:v>8.3478260869565197</c:v>
                </c:pt>
                <c:pt idx="6">
                  <c:v>2.625</c:v>
                </c:pt>
                <c:pt idx="7" formatCode="0.00">
                  <c:v>0.83950617283950646</c:v>
                </c:pt>
              </c:numCache>
            </c:numRef>
          </c:xVal>
          <c:yVal>
            <c:numRef>
              <c:f>Hoja5!$I$4:$I$11</c:f>
              <c:numCache>
                <c:formatCode>0.00</c:formatCode>
                <c:ptCount val="8"/>
                <c:pt idx="0">
                  <c:v>0.95</c:v>
                </c:pt>
                <c:pt idx="1">
                  <c:v>1.95</c:v>
                </c:pt>
                <c:pt idx="2">
                  <c:v>2.95</c:v>
                </c:pt>
                <c:pt idx="3">
                  <c:v>3.95</c:v>
                </c:pt>
                <c:pt idx="4">
                  <c:v>4.95</c:v>
                </c:pt>
                <c:pt idx="5">
                  <c:v>5.95</c:v>
                </c:pt>
                <c:pt idx="6">
                  <c:v>6.95</c:v>
                </c:pt>
                <c:pt idx="7">
                  <c:v>7.95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D7-41BD-AF3D-51BCDDA9B2F9}"/>
            </c:ext>
          </c:extLst>
        </c:ser>
        <c:ser>
          <c:idx val="2"/>
          <c:order val="2"/>
          <c:tx>
            <c:v>G2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Hoja5!$F$18:$F$25</c:f>
                <c:numCache>
                  <c:formatCode>General</c:formatCode>
                  <c:ptCount val="8"/>
                  <c:pt idx="0">
                    <c:v>1.0389847930590685</c:v>
                  </c:pt>
                  <c:pt idx="1">
                    <c:v>0.3556273807429734</c:v>
                  </c:pt>
                  <c:pt idx="2">
                    <c:v>0.44489911459474735</c:v>
                  </c:pt>
                  <c:pt idx="3">
                    <c:v>1.4281766893745527E-2</c:v>
                  </c:pt>
                  <c:pt idx="4">
                    <c:v>9.9713448191149301E-2</c:v>
                  </c:pt>
                  <c:pt idx="5">
                    <c:v>0.18434430510121166</c:v>
                  </c:pt>
                  <c:pt idx="6">
                    <c:v>0.24402406135881541</c:v>
                  </c:pt>
                  <c:pt idx="7">
                    <c:v>4.0166356374489905E-3</c:v>
                  </c:pt>
                </c:numCache>
              </c:numRef>
            </c:plus>
            <c:minus>
              <c:numRef>
                <c:f>Hoja5!$F$18:$F$25</c:f>
                <c:numCache>
                  <c:formatCode>General</c:formatCode>
                  <c:ptCount val="8"/>
                  <c:pt idx="0">
                    <c:v>1.0389847930590685</c:v>
                  </c:pt>
                  <c:pt idx="1">
                    <c:v>0.3556273807429734</c:v>
                  </c:pt>
                  <c:pt idx="2">
                    <c:v>0.44489911459474735</c:v>
                  </c:pt>
                  <c:pt idx="3">
                    <c:v>1.4281766893745527E-2</c:v>
                  </c:pt>
                  <c:pt idx="4">
                    <c:v>9.9713448191149301E-2</c:v>
                  </c:pt>
                  <c:pt idx="5">
                    <c:v>0.18434430510121166</c:v>
                  </c:pt>
                  <c:pt idx="6">
                    <c:v>0.24402406135881541</c:v>
                  </c:pt>
                  <c:pt idx="7">
                    <c:v>4.0166356374489905E-3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Hoja5!$E$18:$E$25</c:f>
              <c:numCache>
                <c:formatCode>0.00</c:formatCode>
                <c:ptCount val="8"/>
                <c:pt idx="0">
                  <c:v>4.6642900728115837</c:v>
                </c:pt>
                <c:pt idx="1">
                  <c:v>6.0788663387756969</c:v>
                </c:pt>
                <c:pt idx="2">
                  <c:v>8.4509850970829739</c:v>
                </c:pt>
                <c:pt idx="3">
                  <c:v>1.2240013746214562</c:v>
                </c:pt>
                <c:pt idx="4">
                  <c:v>7.7767514149061387</c:v>
                </c:pt>
                <c:pt idx="5">
                  <c:v>8.3013434494536291</c:v>
                </c:pt>
                <c:pt idx="6">
                  <c:v>2.5247683569650081</c:v>
                </c:pt>
                <c:pt idx="7">
                  <c:v>0.89123555418193923</c:v>
                </c:pt>
              </c:numCache>
            </c:numRef>
          </c:xVal>
          <c:yVal>
            <c:numRef>
              <c:f>Hoja5!$H$18:$H$25</c:f>
              <c:numCache>
                <c:formatCode>0.00</c:formatCode>
                <c:ptCount val="8"/>
                <c:pt idx="0">
                  <c:v>1.1000000000000001</c:v>
                </c:pt>
                <c:pt idx="1">
                  <c:v>2.1</c:v>
                </c:pt>
                <c:pt idx="2">
                  <c:v>3.1</c:v>
                </c:pt>
                <c:pt idx="3">
                  <c:v>4.0999999999999996</c:v>
                </c:pt>
                <c:pt idx="4">
                  <c:v>5.0999999999999996</c:v>
                </c:pt>
                <c:pt idx="5">
                  <c:v>6.1</c:v>
                </c:pt>
                <c:pt idx="6">
                  <c:v>7.1</c:v>
                </c:pt>
                <c:pt idx="7">
                  <c:v>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D7-41BD-AF3D-51BCDDA9B2F9}"/>
            </c:ext>
          </c:extLst>
        </c:ser>
        <c:ser>
          <c:idx val="3"/>
          <c:order val="3"/>
          <c:tx>
            <c:v>H2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Hoja5!$C$18:$C$25</c:f>
                <c:numCache>
                  <c:formatCode>General</c:formatCode>
                  <c:ptCount val="8"/>
                  <c:pt idx="0">
                    <c:v>0.14273160983478531</c:v>
                  </c:pt>
                  <c:pt idx="1">
                    <c:v>0.16856793145110954</c:v>
                  </c:pt>
                  <c:pt idx="2">
                    <c:v>0.29818816479252225</c:v>
                  </c:pt>
                  <c:pt idx="3">
                    <c:v>3.0906699905062101E-2</c:v>
                  </c:pt>
                  <c:pt idx="4">
                    <c:v>0.23543073832670197</c:v>
                  </c:pt>
                  <c:pt idx="5">
                    <c:v>0.32779438151557821</c:v>
                  </c:pt>
                  <c:pt idx="6">
                    <c:v>8.620171282798833E-2</c:v>
                  </c:pt>
                  <c:pt idx="7">
                    <c:v>7.6866249314642282E-2</c:v>
                  </c:pt>
                </c:numCache>
              </c:numRef>
            </c:plus>
            <c:minus>
              <c:numRef>
                <c:f>Hoja5!$C$18:$C$25</c:f>
                <c:numCache>
                  <c:formatCode>General</c:formatCode>
                  <c:ptCount val="8"/>
                  <c:pt idx="0">
                    <c:v>0.14273160983478531</c:v>
                  </c:pt>
                  <c:pt idx="1">
                    <c:v>0.16856793145110954</c:v>
                  </c:pt>
                  <c:pt idx="2">
                    <c:v>0.29818816479252225</c:v>
                  </c:pt>
                  <c:pt idx="3">
                    <c:v>3.0906699905062101E-2</c:v>
                  </c:pt>
                  <c:pt idx="4">
                    <c:v>0.23543073832670197</c:v>
                  </c:pt>
                  <c:pt idx="5">
                    <c:v>0.32779438151557821</c:v>
                  </c:pt>
                  <c:pt idx="6">
                    <c:v>8.620171282798833E-2</c:v>
                  </c:pt>
                  <c:pt idx="7">
                    <c:v>7.6866249314642282E-2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Hoja5!$B$18:$B$25</c:f>
              <c:numCache>
                <c:formatCode>0.0</c:formatCode>
                <c:ptCount val="8"/>
                <c:pt idx="0">
                  <c:v>3.9705398288347604</c:v>
                </c:pt>
                <c:pt idx="1">
                  <c:v>6.297178130511468</c:v>
                </c:pt>
                <c:pt idx="2">
                  <c:v>9.549240626483142</c:v>
                </c:pt>
                <c:pt idx="3">
                  <c:v>1.1519060454370427</c:v>
                </c:pt>
                <c:pt idx="4">
                  <c:v>7.1614100185528775</c:v>
                </c:pt>
                <c:pt idx="5">
                  <c:v>8.2200532386867771</c:v>
                </c:pt>
                <c:pt idx="6">
                  <c:v>2.5848214285714284</c:v>
                </c:pt>
                <c:pt idx="7">
                  <c:v>0.81787654320987691</c:v>
                </c:pt>
              </c:numCache>
            </c:numRef>
          </c:xVal>
          <c:yVal>
            <c:numRef>
              <c:f>Hoja5!$I$18:$I$25</c:f>
              <c:numCache>
                <c:formatCode>0.00</c:formatCode>
                <c:ptCount val="8"/>
                <c:pt idx="0">
                  <c:v>1.25</c:v>
                </c:pt>
                <c:pt idx="1">
                  <c:v>2.25</c:v>
                </c:pt>
                <c:pt idx="2">
                  <c:v>3.25</c:v>
                </c:pt>
                <c:pt idx="3">
                  <c:v>4.25</c:v>
                </c:pt>
                <c:pt idx="4">
                  <c:v>5.25</c:v>
                </c:pt>
                <c:pt idx="5">
                  <c:v>6.25</c:v>
                </c:pt>
                <c:pt idx="6">
                  <c:v>7.25</c:v>
                </c:pt>
                <c:pt idx="7">
                  <c:v>8.25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D7-41BD-AF3D-51BCDDA9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763527"/>
        <c:axId val="2123414723"/>
      </c:scatterChart>
      <c:valAx>
        <c:axId val="1791763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p(g</a:t>
                </a:r>
                <a:r>
                  <a:rPr lang="es-ES" sz="8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/cm</a:t>
                </a:r>
                <a:r>
                  <a:rPr lang="es-ES" sz="800" b="0" i="0" u="none" strike="noStrike" kern="1200" cap="all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-3</a:t>
                </a:r>
                <a:r>
                  <a:rPr lang="es-E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3414723"/>
        <c:crosses val="autoZero"/>
        <c:crossBetween val="midCat"/>
      </c:valAx>
      <c:valAx>
        <c:axId val="21234147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Muestra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763527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Densidad: M vs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4457530299345842"/>
          <c:y val="0.11056557413954646"/>
          <c:w val="0.75257611871526719"/>
          <c:h val="0.83664830055790762"/>
        </c:manualLayout>
      </c:layout>
      <c:scatterChart>
        <c:scatterStyle val="lineMarker"/>
        <c:varyColors val="1"/>
        <c:ser>
          <c:idx val="0"/>
          <c:order val="0"/>
          <c:tx>
            <c:v>MADERA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Linear (Madera)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"/>
            <c:dispRSqr val="0"/>
            <c:dispEq val="1"/>
            <c:trendlineLbl>
              <c:layout>
                <c:manualLayout>
                  <c:x val="-0.11779447893049463"/>
                  <c:y val="5.905050185309750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s-ES"/>
                      <a:t>0,7184 Densidad Madera</a:t>
                    </a:r>
                  </a:p>
                </c:rich>
              </c:tx>
              <c:numFmt formatCode="General" sourceLinked="0"/>
              <c:spPr>
                <a:noFill/>
                <a:ln w="19050"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Hoja6!$F$3:$F$9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2.7444953421760437E-2</c:v>
                  </c:pt>
                  <c:pt idx="2">
                    <c:v>3.1818050395557428E-2</c:v>
                  </c:pt>
                  <c:pt idx="3">
                    <c:v>4.5873535927718159E-2</c:v>
                  </c:pt>
                  <c:pt idx="4">
                    <c:v>5.4350338305266831E-2</c:v>
                  </c:pt>
                  <c:pt idx="5">
                    <c:v>6.8810303891577232E-2</c:v>
                  </c:pt>
                  <c:pt idx="6">
                    <c:v>8.6163676311843865E-2</c:v>
                  </c:pt>
                </c:numCache>
              </c:numRef>
            </c:plus>
            <c:minus>
              <c:numRef>
                <c:f>Hoja6!$F$3:$F$9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2.7444953421760437E-2</c:v>
                  </c:pt>
                  <c:pt idx="2">
                    <c:v>3.1818050395557428E-2</c:v>
                  </c:pt>
                  <c:pt idx="3">
                    <c:v>4.5873535927718159E-2</c:v>
                  </c:pt>
                  <c:pt idx="4">
                    <c:v>5.4350338305266831E-2</c:v>
                  </c:pt>
                  <c:pt idx="5">
                    <c:v>6.8810303891577232E-2</c:v>
                  </c:pt>
                  <c:pt idx="6">
                    <c:v>8.6163676311843865E-2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Hoja6!$E$3:$E$9</c:f>
              <c:numCache>
                <c:formatCode>0.00</c:formatCode>
                <c:ptCount val="7"/>
                <c:pt idx="0" formatCode="General">
                  <c:v>0</c:v>
                </c:pt>
                <c:pt idx="1">
                  <c:v>0.96992274949869839</c:v>
                </c:pt>
                <c:pt idx="2">
                  <c:v>1.1798314042409539</c:v>
                </c:pt>
                <c:pt idx="3">
                  <c:v>1.8781980263560041</c:v>
                </c:pt>
                <c:pt idx="4">
                  <c:v>2.3093062198375174</c:v>
                </c:pt>
                <c:pt idx="5">
                  <c:v>3.0020996565850986</c:v>
                </c:pt>
                <c:pt idx="6">
                  <c:v>3.8205324521332074</c:v>
                </c:pt>
              </c:numCache>
            </c:numRef>
          </c:xVal>
          <c:yVal>
            <c:numRef>
              <c:f>Hoja6!$B$3:$B$9</c:f>
              <c:numCache>
                <c:formatCode>General</c:formatCode>
                <c:ptCount val="7"/>
                <c:pt idx="0">
                  <c:v>0</c:v>
                </c:pt>
                <c:pt idx="1">
                  <c:v>0.8</c:v>
                </c:pt>
                <c:pt idx="2">
                  <c:v>0.9</c:v>
                </c:pt>
                <c:pt idx="3">
                  <c:v>1.4</c:v>
                </c:pt>
                <c:pt idx="4">
                  <c:v>1.6</c:v>
                </c:pt>
                <c:pt idx="5">
                  <c:v>2.2000000000000002</c:v>
                </c:pt>
                <c:pt idx="6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29-423A-B062-B7F35B512E28}"/>
            </c:ext>
          </c:extLst>
        </c:ser>
        <c:ser>
          <c:idx val="1"/>
          <c:order val="1"/>
          <c:tx>
            <c:v>PLÁSTICO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Linear (Plástico)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"/>
            <c:dispRSqr val="0"/>
            <c:dispEq val="1"/>
            <c:trendlineLbl>
              <c:layout>
                <c:manualLayout>
                  <c:x val="-0.2351791085589281"/>
                  <c:y val="6.036168374681807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1,2135 Densidad Plástico</a:t>
                    </a:r>
                  </a:p>
                </c:rich>
              </c:tx>
              <c:numFmt formatCode="General" sourceLinked="0"/>
              <c:spPr>
                <a:noFill/>
                <a:ln w="19050"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Hoja6!$F$12:$F$18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2.1089511483548276E-2</c:v>
                  </c:pt>
                  <c:pt idx="2">
                    <c:v>3.5251811165931068E-2</c:v>
                  </c:pt>
                  <c:pt idx="3">
                    <c:v>4.6335350047795855E-2</c:v>
                  </c:pt>
                  <c:pt idx="4">
                    <c:v>5.5263756369298055E-2</c:v>
                  </c:pt>
                  <c:pt idx="5">
                    <c:v>6.388428661074845E-2</c:v>
                  </c:pt>
                  <c:pt idx="6">
                    <c:v>7.3274507052328325E-2</c:v>
                  </c:pt>
                </c:numCache>
              </c:numRef>
            </c:plus>
            <c:minus>
              <c:numRef>
                <c:f>Hoja6!$F$12:$F$18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2.1089511483548276E-2</c:v>
                  </c:pt>
                  <c:pt idx="2">
                    <c:v>3.5251811165931068E-2</c:v>
                  </c:pt>
                  <c:pt idx="3">
                    <c:v>4.6335350047795855E-2</c:v>
                  </c:pt>
                  <c:pt idx="4">
                    <c:v>5.5263756369298055E-2</c:v>
                  </c:pt>
                  <c:pt idx="5">
                    <c:v>6.388428661074845E-2</c:v>
                  </c:pt>
                  <c:pt idx="6">
                    <c:v>7.3274507052328325E-2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Hoja6!$E$12:$E$18</c:f>
              <c:numCache>
                <c:formatCode>0.00</c:formatCode>
                <c:ptCount val="7"/>
                <c:pt idx="0" formatCode="General">
                  <c:v>0</c:v>
                </c:pt>
                <c:pt idx="1">
                  <c:v>0.66378082859168008</c:v>
                </c:pt>
                <c:pt idx="2">
                  <c:v>1.3577335130284367</c:v>
                </c:pt>
                <c:pt idx="3">
                  <c:v>1.9008269182398112</c:v>
                </c:pt>
                <c:pt idx="4">
                  <c:v>2.3383188279934188</c:v>
                </c:pt>
                <c:pt idx="5">
                  <c:v>2.7607248098244881</c:v>
                </c:pt>
                <c:pt idx="6">
                  <c:v>3.2208456114619022</c:v>
                </c:pt>
              </c:numCache>
            </c:numRef>
          </c:xVal>
          <c:yVal>
            <c:numRef>
              <c:f>Hoja6!$B$12:$B$18</c:f>
              <c:numCache>
                <c:formatCode>General</c:formatCode>
                <c:ptCount val="7"/>
                <c:pt idx="0">
                  <c:v>0</c:v>
                </c:pt>
                <c:pt idx="1">
                  <c:v>0.8</c:v>
                </c:pt>
                <c:pt idx="2">
                  <c:v>1.7</c:v>
                </c:pt>
                <c:pt idx="3">
                  <c:v>2.2999999999999998</c:v>
                </c:pt>
                <c:pt idx="4">
                  <c:v>2.8</c:v>
                </c:pt>
                <c:pt idx="5">
                  <c:v>3.4</c:v>
                </c:pt>
                <c:pt idx="6">
                  <c:v>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29-423A-B062-B7F35B512E28}"/>
            </c:ext>
          </c:extLst>
        </c:ser>
        <c:ser>
          <c:idx val="2"/>
          <c:order val="2"/>
          <c:tx>
            <c:v>ALUMINIO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Linear (Aluminio)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30938530140664328"/>
                  <c:y val="-5.473825822023503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2,8124 Densidad Aluminio</a:t>
                    </a:r>
                  </a:p>
                </c:rich>
              </c:tx>
              <c:numFmt formatCode="General" sourceLinked="0"/>
              <c:spPr>
                <a:noFill/>
                <a:ln w="19050"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2.5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Ref>
                <c:f>Hoja6!$F$21:$F$27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2.8952917895483533E-2</c:v>
                  </c:pt>
                  <c:pt idx="2">
                    <c:v>3.8905483422056006E-2</c:v>
                  </c:pt>
                  <c:pt idx="3">
                    <c:v>5.2024774343446975E-2</c:v>
                  </c:pt>
                  <c:pt idx="4">
                    <c:v>6.1675746975274823E-2</c:v>
                  </c:pt>
                  <c:pt idx="5">
                    <c:v>7.1175923159730356E-2</c:v>
                  </c:pt>
                  <c:pt idx="6">
                    <c:v>8.0977692238930504E-2</c:v>
                  </c:pt>
                </c:numCache>
              </c:numRef>
            </c:plus>
            <c:minus>
              <c:numRef>
                <c:f>Hoja6!$F$21:$F$27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2.8952917895483533E-2</c:v>
                  </c:pt>
                  <c:pt idx="2">
                    <c:v>3.8905483422056006E-2</c:v>
                  </c:pt>
                  <c:pt idx="3">
                    <c:v>5.2024774343446975E-2</c:v>
                  </c:pt>
                  <c:pt idx="4">
                    <c:v>6.1675746975274823E-2</c:v>
                  </c:pt>
                  <c:pt idx="5">
                    <c:v>7.1175923159730356E-2</c:v>
                  </c:pt>
                  <c:pt idx="6">
                    <c:v>8.0977692238930504E-2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Hoja6!$E$21:$E$27</c:f>
              <c:numCache>
                <c:formatCode>0.00</c:formatCode>
                <c:ptCount val="7"/>
                <c:pt idx="0">
                  <c:v>0</c:v>
                </c:pt>
                <c:pt idx="1">
                  <c:v>1.0423050442374071</c:v>
                </c:pt>
                <c:pt idx="2">
                  <c:v>1.5200281895128855</c:v>
                </c:pt>
                <c:pt idx="3">
                  <c:v>2.1497541537396523</c:v>
                </c:pt>
                <c:pt idx="4">
                  <c:v>2.6130008400673885</c:v>
                </c:pt>
                <c:pt idx="5">
                  <c:v>3.0690092969212546</c:v>
                </c:pt>
                <c:pt idx="6">
                  <c:v>3.5394942127228615</c:v>
                </c:pt>
              </c:numCache>
            </c:numRef>
          </c:xVal>
          <c:yVal>
            <c:numRef>
              <c:f>Hoja6!$B$21:$B$27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4.3</c:v>
                </c:pt>
                <c:pt idx="3">
                  <c:v>6.1</c:v>
                </c:pt>
                <c:pt idx="4">
                  <c:v>7.4</c:v>
                </c:pt>
                <c:pt idx="5">
                  <c:v>8.6</c:v>
                </c:pt>
                <c:pt idx="6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129-423A-B062-B7F35B512E28}"/>
            </c:ext>
          </c:extLst>
        </c:ser>
        <c:ser>
          <c:idx val="3"/>
          <c:order val="3"/>
          <c:tx>
            <c:v>TITANIO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name>Linear (Titanio)</c:nam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3"/>
            <c:dispRSqr val="0"/>
            <c:dispEq val="1"/>
            <c:trendlineLbl>
              <c:layout>
                <c:manualLayout>
                  <c:x val="-9.4926997948062072E-2"/>
                  <c:y val="0.2466049077408037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 4,4918 Densidad Titanio</a:t>
                    </a:r>
                  </a:p>
                </c:rich>
              </c:tx>
              <c:numFmt formatCode="General" sourceLinked="0"/>
              <c:spPr>
                <a:noFill/>
                <a:ln w="19050">
                  <a:solidFill>
                    <a:schemeClr val="accent4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Hoja6!$F$30:$F$35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2.4959168234607514E-2</c:v>
                  </c:pt>
                  <c:pt idx="2">
                    <c:v>3.5222751433885369E-2</c:v>
                  </c:pt>
                  <c:pt idx="3">
                    <c:v>4.9996090887391376E-2</c:v>
                  </c:pt>
                  <c:pt idx="4">
                    <c:v>6.1970271286548868E-2</c:v>
                  </c:pt>
                  <c:pt idx="5">
                    <c:v>7.4566487031117137E-2</c:v>
                  </c:pt>
                </c:numCache>
              </c:numRef>
            </c:plus>
            <c:minus>
              <c:numRef>
                <c:f>Hoja6!$F$30:$F$35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2.4959168234607514E-2</c:v>
                  </c:pt>
                  <c:pt idx="2">
                    <c:v>3.5222751433885369E-2</c:v>
                  </c:pt>
                  <c:pt idx="3">
                    <c:v>4.9996090887391376E-2</c:v>
                  </c:pt>
                  <c:pt idx="4">
                    <c:v>6.1970271286548868E-2</c:v>
                  </c:pt>
                  <c:pt idx="5">
                    <c:v>7.4566487031117137E-2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Hoja6!$E$30:$E$35</c:f>
              <c:numCache>
                <c:formatCode>0.00</c:formatCode>
                <c:ptCount val="6"/>
                <c:pt idx="0">
                  <c:v>0</c:v>
                </c:pt>
                <c:pt idx="1">
                  <c:v>0.85444330133988144</c:v>
                </c:pt>
                <c:pt idx="2">
                  <c:v>1.3624906697041352</c:v>
                </c:pt>
                <c:pt idx="3">
                  <c:v>2.0937709726526825</c:v>
                </c:pt>
                <c:pt idx="4">
                  <c:v>2.6864929024109783</c:v>
                </c:pt>
                <c:pt idx="5">
                  <c:v>3.3100055817671077</c:v>
                </c:pt>
              </c:numCache>
            </c:numRef>
          </c:xVal>
          <c:yVal>
            <c:numRef>
              <c:f>Hoja6!$B$30:$B$35</c:f>
              <c:numCache>
                <c:formatCode>General</c:formatCode>
                <c:ptCount val="6"/>
                <c:pt idx="0">
                  <c:v>0</c:v>
                </c:pt>
                <c:pt idx="1">
                  <c:v>3.9</c:v>
                </c:pt>
                <c:pt idx="2">
                  <c:v>6.1</c:v>
                </c:pt>
                <c:pt idx="3">
                  <c:v>9.6</c:v>
                </c:pt>
                <c:pt idx="4">
                  <c:v>12.1</c:v>
                </c:pt>
                <c:pt idx="5">
                  <c:v>14.8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129-423A-B062-B7F35B512E28}"/>
            </c:ext>
          </c:extLst>
        </c:ser>
        <c:ser>
          <c:idx val="4"/>
          <c:order val="4"/>
          <c:tx>
            <c:v>ACERO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name>Linear (Acero)</c:nam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2.5"/>
            <c:dispRSqr val="0"/>
            <c:dispEq val="1"/>
            <c:trendlineLbl>
              <c:layout>
                <c:manualLayout>
                  <c:x val="-0.28737821328527535"/>
                  <c:y val="0.3186661654730344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7,9361 Densidad Acero</a:t>
                    </a:r>
                  </a:p>
                </c:rich>
              </c:tx>
              <c:numFmt formatCode="General" sourceLinked="0"/>
              <c:spPr>
                <a:noFill/>
                <a:ln w="190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Hoja6!$F$39:$F$45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2.7447309616250627E-2</c:v>
                  </c:pt>
                  <c:pt idx="2">
                    <c:v>3.3045627724947638E-2</c:v>
                  </c:pt>
                  <c:pt idx="3">
                    <c:v>4.7196931833042861E-2</c:v>
                  </c:pt>
                  <c:pt idx="4">
                    <c:v>5.8549076886789585E-2</c:v>
                  </c:pt>
                  <c:pt idx="5">
                    <c:v>7.4298666257398616E-2</c:v>
                  </c:pt>
                  <c:pt idx="6">
                    <c:v>8.3585999539573436E-2</c:v>
                  </c:pt>
                </c:numCache>
              </c:numRef>
            </c:plus>
            <c:minus>
              <c:numRef>
                <c:f>Hoja6!$F$39:$F$45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2.7447309616250627E-2</c:v>
                  </c:pt>
                  <c:pt idx="2">
                    <c:v>3.3045627724947638E-2</c:v>
                  </c:pt>
                  <c:pt idx="3">
                    <c:v>4.7196931833042861E-2</c:v>
                  </c:pt>
                  <c:pt idx="4">
                    <c:v>5.8549076886789585E-2</c:v>
                  </c:pt>
                  <c:pt idx="5">
                    <c:v>7.4298666257398616E-2</c:v>
                  </c:pt>
                  <c:pt idx="6">
                    <c:v>8.3585999539573436E-2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Hoja6!$E$39:$E$45</c:f>
              <c:numCache>
                <c:formatCode>0.00</c:formatCode>
                <c:ptCount val="7"/>
                <c:pt idx="0">
                  <c:v>0</c:v>
                </c:pt>
                <c:pt idx="1">
                  <c:v>0.9776062997312156</c:v>
                </c:pt>
                <c:pt idx="2">
                  <c:v>1.2547230461117176</c:v>
                </c:pt>
                <c:pt idx="3">
                  <c:v>1.9552125994624312</c:v>
                </c:pt>
                <c:pt idx="4">
                  <c:v>2.5171437796228937</c:v>
                </c:pt>
                <c:pt idx="5">
                  <c:v>3.3222342311712065</c:v>
                </c:pt>
                <c:pt idx="6">
                  <c:v>3.7564714509356945</c:v>
                </c:pt>
              </c:numCache>
            </c:numRef>
          </c:xVal>
          <c:yVal>
            <c:numRef>
              <c:f>Hoja6!$B$39:$B$45</c:f>
              <c:numCache>
                <c:formatCode>General</c:formatCode>
                <c:ptCount val="7"/>
                <c:pt idx="0">
                  <c:v>0</c:v>
                </c:pt>
                <c:pt idx="1">
                  <c:v>7.6</c:v>
                </c:pt>
                <c:pt idx="2">
                  <c:v>10</c:v>
                </c:pt>
                <c:pt idx="3">
                  <c:v>15.8</c:v>
                </c:pt>
                <c:pt idx="4">
                  <c:v>20.2</c:v>
                </c:pt>
                <c:pt idx="5">
                  <c:v>26.2</c:v>
                </c:pt>
                <c:pt idx="6">
                  <c:v>29.8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129-423A-B062-B7F35B512E28}"/>
            </c:ext>
          </c:extLst>
        </c:ser>
        <c:ser>
          <c:idx val="5"/>
          <c:order val="5"/>
          <c:tx>
            <c:v>LATÓN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name>Linear (Latón)</c:nam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forward val="5"/>
            <c:dispRSqr val="0"/>
            <c:dispEq val="1"/>
            <c:trendlineLbl>
              <c:layout>
                <c:manualLayout>
                  <c:x val="-0.32540333606781513"/>
                  <c:y val="4.437805827035439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8,8007   Densidad Latón</a:t>
                    </a:r>
                  </a:p>
                </c:rich>
              </c:tx>
              <c:numFmt formatCode="General" sourceLinked="0"/>
              <c:spPr>
                <a:noFill/>
                <a:ln w="19050">
                  <a:solidFill>
                    <a:schemeClr val="accent6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Hoja6!$F$48:$F$54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2.6015528764377072E-2</c:v>
                  </c:pt>
                  <c:pt idx="2">
                    <c:v>3.3096678605568468E-2</c:v>
                  </c:pt>
                  <c:pt idx="3">
                    <c:v>3.8176633926423162E-2</c:v>
                  </c:pt>
                  <c:pt idx="4">
                    <c:v>5.0337739088469245E-2</c:v>
                  </c:pt>
                  <c:pt idx="5">
                    <c:v>6.1261056745000965E-2</c:v>
                  </c:pt>
                  <c:pt idx="6">
                    <c:v>7.7754418176347387E-2</c:v>
                  </c:pt>
                </c:numCache>
              </c:numRef>
            </c:plus>
            <c:minus>
              <c:numRef>
                <c:f>Hoja6!$F$48:$F$54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2.6015528764377072E-2</c:v>
                  </c:pt>
                  <c:pt idx="2">
                    <c:v>3.3096678605568468E-2</c:v>
                  </c:pt>
                  <c:pt idx="3">
                    <c:v>3.8176633926423162E-2</c:v>
                  </c:pt>
                  <c:pt idx="4">
                    <c:v>5.0337739088469245E-2</c:v>
                  </c:pt>
                  <c:pt idx="5">
                    <c:v>6.1261056745000965E-2</c:v>
                  </c:pt>
                  <c:pt idx="6">
                    <c:v>7.7754418176347387E-2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Hoja6!$E$48:$E$54</c:f>
              <c:numCache>
                <c:formatCode>0.00</c:formatCode>
                <c:ptCount val="7"/>
                <c:pt idx="0">
                  <c:v>0</c:v>
                </c:pt>
                <c:pt idx="1">
                  <c:v>0.90515567535229102</c:v>
                </c:pt>
                <c:pt idx="2">
                  <c:v>1.2521320175706694</c:v>
                </c:pt>
                <c:pt idx="3">
                  <c:v>1.5010498282925493</c:v>
                </c:pt>
                <c:pt idx="4">
                  <c:v>2.0969439812328075</c:v>
                </c:pt>
                <c:pt idx="5">
                  <c:v>2.6703537555513241</c:v>
                </c:pt>
                <c:pt idx="6">
                  <c:v>3.4950218271186451</c:v>
                </c:pt>
              </c:numCache>
            </c:numRef>
          </c:xVal>
          <c:yVal>
            <c:numRef>
              <c:f>Hoja6!$B$48:$B$54</c:f>
              <c:numCache>
                <c:formatCode>General</c:formatCode>
                <c:ptCount val="7"/>
                <c:pt idx="0">
                  <c:v>0</c:v>
                </c:pt>
                <c:pt idx="1">
                  <c:v>8.4</c:v>
                </c:pt>
                <c:pt idx="2">
                  <c:v>11.5</c:v>
                </c:pt>
                <c:pt idx="3">
                  <c:v>13.8</c:v>
                </c:pt>
                <c:pt idx="4">
                  <c:v>19.3</c:v>
                </c:pt>
                <c:pt idx="5">
                  <c:v>23.6</c:v>
                </c:pt>
                <c:pt idx="6">
                  <c:v>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129-423A-B062-B7F35B512E28}"/>
            </c:ext>
          </c:extLst>
        </c:ser>
        <c:ser>
          <c:idx val="6"/>
          <c:order val="6"/>
          <c:tx>
            <c:v>PLOMO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name>Linear (Plomo)</c:nam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forward val="0.5"/>
            <c:dispRSqr val="0"/>
            <c:dispEq val="1"/>
            <c:trendlineLbl>
              <c:layout>
                <c:manualLayout>
                  <c:x val="-0.21619749848742245"/>
                  <c:y val="0.3584484100291483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10,628 Densidad Plomo</a:t>
                    </a:r>
                  </a:p>
                </c:rich>
              </c:tx>
              <c:numFmt formatCode="General" sourceLinked="0"/>
              <c:spPr>
                <a:noFill/>
                <a:ln w="19050">
                  <a:solidFill>
                    <a:schemeClr val="accent1">
                      <a:lumMod val="40000"/>
                      <a:lumOff val="6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Hoja6!$F$57:$F$63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2.4033183799961916E-2</c:v>
                  </c:pt>
                  <c:pt idx="2">
                    <c:v>3.0659588104546182E-2</c:v>
                  </c:pt>
                  <c:pt idx="3">
                    <c:v>3.4506468308866896E-2</c:v>
                  </c:pt>
                  <c:pt idx="4">
                    <c:v>4.424226394234166E-2</c:v>
                  </c:pt>
                  <c:pt idx="5">
                    <c:v>5.6546311570126073E-2</c:v>
                  </c:pt>
                  <c:pt idx="6">
                    <c:v>6.9064772896518023E-2</c:v>
                  </c:pt>
                </c:numCache>
              </c:numRef>
            </c:plus>
            <c:minus>
              <c:numRef>
                <c:f>Hoja6!$F$57:$F$63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2.4033183799961916E-2</c:v>
                  </c:pt>
                  <c:pt idx="2">
                    <c:v>3.0659588104546182E-2</c:v>
                  </c:pt>
                  <c:pt idx="3">
                    <c:v>3.4506468308866896E-2</c:v>
                  </c:pt>
                  <c:pt idx="4">
                    <c:v>4.424226394234166E-2</c:v>
                  </c:pt>
                  <c:pt idx="5">
                    <c:v>5.6546311570126073E-2</c:v>
                  </c:pt>
                  <c:pt idx="6">
                    <c:v>6.9064772896518023E-2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Hoja6!$E$57:$E$63</c:f>
              <c:numCache>
                <c:formatCode>0.00</c:formatCode>
                <c:ptCount val="7"/>
                <c:pt idx="0">
                  <c:v>0</c:v>
                </c:pt>
                <c:pt idx="1">
                  <c:v>0.80896010829937171</c:v>
                </c:pt>
                <c:pt idx="2">
                  <c:v>1.1498558979367268</c:v>
                </c:pt>
                <c:pt idx="3">
                  <c:v>1.3379783930245008</c:v>
                </c:pt>
                <c:pt idx="4">
                  <c:v>1.8089565388727218</c:v>
                </c:pt>
                <c:pt idx="5">
                  <c:v>2.4830221564140915</c:v>
                </c:pt>
                <c:pt idx="6">
                  <c:v>2.9676740842870619</c:v>
                </c:pt>
              </c:numCache>
            </c:numRef>
          </c:xVal>
          <c:yVal>
            <c:numRef>
              <c:f>Hoja6!$B$57:$B$63</c:f>
              <c:numCache>
                <c:formatCode>General</c:formatCode>
                <c:ptCount val="7"/>
                <c:pt idx="0">
                  <c:v>0</c:v>
                </c:pt>
                <c:pt idx="1">
                  <c:v>8.8000000000000007</c:v>
                </c:pt>
                <c:pt idx="2">
                  <c:v>12.5</c:v>
                </c:pt>
                <c:pt idx="3">
                  <c:v>15</c:v>
                </c:pt>
                <c:pt idx="4">
                  <c:v>18.2</c:v>
                </c:pt>
                <c:pt idx="5">
                  <c:v>28.2</c:v>
                </c:pt>
                <c:pt idx="6">
                  <c:v>30.8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129-423A-B062-B7F35B512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229257"/>
        <c:axId val="542085424"/>
      </c:scatterChart>
      <c:valAx>
        <c:axId val="1385229257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V/</a:t>
                </a:r>
                <a:r>
                  <a:rPr lang="es-E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cm</a:t>
                </a:r>
                <a:r>
                  <a:rPr lang="es-ES" sz="8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-3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2085424"/>
        <c:crosses val="autoZero"/>
        <c:crossBetween val="midCat"/>
      </c:valAx>
      <c:valAx>
        <c:axId val="542085424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M/g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5229257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ayout>
        <c:manualLayout>
          <c:xMode val="edge"/>
          <c:yMode val="edge"/>
          <c:x val="0.24254984699823834"/>
          <c:y val="6.4545581538105315E-2"/>
          <c:w val="0.52310652915929046"/>
          <c:h val="3.47961512320843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Densidad: </a:t>
            </a:r>
            <a:r>
              <a:rPr lang="el-GR"/>
              <a:t>ρ</a:t>
            </a:r>
            <a:r>
              <a:rPr lang="es-ES" baseline="30000"/>
              <a:t>G</a:t>
            </a:r>
            <a:r>
              <a:rPr lang="es-ES"/>
              <a:t> vs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735022315404404"/>
          <c:y val="7.9938740064680477E-2"/>
          <c:w val="0.82463297131424296"/>
          <c:h val="0.78200012765235283"/>
        </c:manualLayout>
      </c:layout>
      <c:scatterChart>
        <c:scatterStyle val="lineMarker"/>
        <c:varyColors val="1"/>
        <c:ser>
          <c:idx val="0"/>
          <c:order val="0"/>
          <c:tx>
            <c:v>Madera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Hoja7!$E$4:$E$9</c:f>
                <c:numCache>
                  <c:formatCode>General</c:formatCode>
                  <c:ptCount val="6"/>
                  <c:pt idx="0">
                    <c:v>0.12643977675931664</c:v>
                  </c:pt>
                  <c:pt idx="1">
                    <c:v>0.10532985640655013</c:v>
                  </c:pt>
                  <c:pt idx="2">
                    <c:v>7.1448226783426549E-2</c:v>
                  </c:pt>
                  <c:pt idx="3">
                    <c:v>5.9609489843339684E-2</c:v>
                  </c:pt>
                  <c:pt idx="4">
                    <c:v>5.0106796769610919E-2</c:v>
                  </c:pt>
                  <c:pt idx="5">
                    <c:v>4.2702901111807634E-2</c:v>
                  </c:pt>
                </c:numCache>
              </c:numRef>
            </c:plus>
            <c:minus>
              <c:numRef>
                <c:f>Hoja7!$E$4:$E$9</c:f>
                <c:numCache>
                  <c:formatCode>General</c:formatCode>
                  <c:ptCount val="6"/>
                  <c:pt idx="0">
                    <c:v>0.12643977675931664</c:v>
                  </c:pt>
                  <c:pt idx="1">
                    <c:v>0.10532985640655013</c:v>
                  </c:pt>
                  <c:pt idx="2">
                    <c:v>7.1448226783426549E-2</c:v>
                  </c:pt>
                  <c:pt idx="3">
                    <c:v>5.9609489843339684E-2</c:v>
                  </c:pt>
                  <c:pt idx="4">
                    <c:v>5.0106796769610919E-2</c:v>
                  </c:pt>
                  <c:pt idx="5">
                    <c:v>4.2702901111807634E-2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Hoja7!$C$13:$C$18</c:f>
              <c:numCache>
                <c:formatCode>0.00</c:formatCode>
                <c:ptCount val="6"/>
                <c:pt idx="0">
                  <c:v>0.66378082859168008</c:v>
                </c:pt>
                <c:pt idx="1">
                  <c:v>1.3577335130284367</c:v>
                </c:pt>
                <c:pt idx="2">
                  <c:v>1.9008269182398112</c:v>
                </c:pt>
                <c:pt idx="3">
                  <c:v>2.3383188279934188</c:v>
                </c:pt>
                <c:pt idx="4">
                  <c:v>2.7607248098244881</c:v>
                </c:pt>
                <c:pt idx="5">
                  <c:v>3.2208456114619022</c:v>
                </c:pt>
              </c:numCache>
            </c:numRef>
          </c:xVal>
          <c:yVal>
            <c:numRef>
              <c:f>Hoja7!$D$4:$D$9</c:f>
              <c:numCache>
                <c:formatCode>0.0</c:formatCode>
                <c:ptCount val="6"/>
                <c:pt idx="0">
                  <c:v>0.82480795549282415</c:v>
                </c:pt>
                <c:pt idx="1">
                  <c:v>0.76282085454321014</c:v>
                </c:pt>
                <c:pt idx="2" formatCode="0.00">
                  <c:v>0.74539530994834313</c:v>
                </c:pt>
                <c:pt idx="3" formatCode="0.00">
                  <c:v>0.69284878127274774</c:v>
                </c:pt>
                <c:pt idx="4" formatCode="0.00">
                  <c:v>0.73282044291044945</c:v>
                </c:pt>
                <c:pt idx="5" formatCode="0.00">
                  <c:v>0.7328821401416471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B7-4839-8027-DFE75ABFDEEE}"/>
            </c:ext>
          </c:extLst>
        </c:ser>
        <c:ser>
          <c:idx val="1"/>
          <c:order val="1"/>
          <c:tx>
            <c:v>Plástico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1.5"/>
            <c:backward val="1.5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Hoja7!$E$13:$E$18</c:f>
                <c:numCache>
                  <c:formatCode>General</c:formatCode>
                  <c:ptCount val="6"/>
                  <c:pt idx="0">
                    <c:v>0.18894405246570267</c:v>
                  </c:pt>
                  <c:pt idx="1">
                    <c:v>0.10616098123258597</c:v>
                  </c:pt>
                  <c:pt idx="2">
                    <c:v>8.2104140119031457E-2</c:v>
                  </c:pt>
                  <c:pt idx="3">
                    <c:v>7.1066063882303465E-2</c:v>
                  </c:pt>
                  <c:pt idx="4">
                    <c:v>6.4721181898509825E-2</c:v>
                  </c:pt>
                  <c:pt idx="5">
                    <c:v>5.859496199521097E-2</c:v>
                  </c:pt>
                </c:numCache>
              </c:numRef>
            </c:plus>
            <c:minus>
              <c:numRef>
                <c:f>Hoja7!$E$13:$E$18</c:f>
                <c:numCache>
                  <c:formatCode>General</c:formatCode>
                  <c:ptCount val="6"/>
                  <c:pt idx="0">
                    <c:v>0.18894405246570267</c:v>
                  </c:pt>
                  <c:pt idx="1">
                    <c:v>0.10616098123258597</c:v>
                  </c:pt>
                  <c:pt idx="2">
                    <c:v>8.2104140119031457E-2</c:v>
                  </c:pt>
                  <c:pt idx="3">
                    <c:v>7.1066063882303465E-2</c:v>
                  </c:pt>
                  <c:pt idx="4">
                    <c:v>6.4721181898509825E-2</c:v>
                  </c:pt>
                  <c:pt idx="5">
                    <c:v>5.859496199521097E-2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Hoja7!$C$13:$C$18</c:f>
              <c:numCache>
                <c:formatCode>0.00</c:formatCode>
                <c:ptCount val="6"/>
                <c:pt idx="0">
                  <c:v>0.66378082859168008</c:v>
                </c:pt>
                <c:pt idx="1">
                  <c:v>1.3577335130284367</c:v>
                </c:pt>
                <c:pt idx="2">
                  <c:v>1.9008269182398112</c:v>
                </c:pt>
                <c:pt idx="3">
                  <c:v>2.3383188279934188</c:v>
                </c:pt>
                <c:pt idx="4">
                  <c:v>2.7607248098244881</c:v>
                </c:pt>
                <c:pt idx="5">
                  <c:v>3.2208456114619022</c:v>
                </c:pt>
              </c:numCache>
            </c:numRef>
          </c:xVal>
          <c:yVal>
            <c:numRef>
              <c:f>Hoja7!$D$13:$D$18</c:f>
              <c:numCache>
                <c:formatCode>0.0</c:formatCode>
                <c:ptCount val="6"/>
                <c:pt idx="0">
                  <c:v>1.2052170920593341</c:v>
                </c:pt>
                <c:pt idx="1">
                  <c:v>1.2520866456394193</c:v>
                </c:pt>
                <c:pt idx="2" formatCode="0.000">
                  <c:v>1.209999699567506</c:v>
                </c:pt>
                <c:pt idx="3" formatCode="0.00">
                  <c:v>1.1974414979170156</c:v>
                </c:pt>
                <c:pt idx="4" formatCode="0.00">
                  <c:v>1.2315606350551664</c:v>
                </c:pt>
                <c:pt idx="5" formatCode="0.00">
                  <c:v>1.2108621369870125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B7-4839-8027-DFE75ABFDEEE}"/>
            </c:ext>
          </c:extLst>
        </c:ser>
        <c:ser>
          <c:idx val="2"/>
          <c:order val="2"/>
          <c:tx>
            <c:v>Aluminio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Hoja7!$E$22:$E$27</c:f>
                <c:numCache>
                  <c:formatCode>General</c:formatCode>
                  <c:ptCount val="6"/>
                  <c:pt idx="0">
                    <c:v>0.17589220578651954</c:v>
                  </c:pt>
                  <c:pt idx="1">
                    <c:v>0.13819449221980573</c:v>
                  </c:pt>
                  <c:pt idx="2">
                    <c:v>0.1151862195224963</c:v>
                  </c:pt>
                  <c:pt idx="3">
                    <c:v>0.10511488454708338</c:v>
                  </c:pt>
                  <c:pt idx="4">
                    <c:v>9.7572101145145057E-2</c:v>
                  </c:pt>
                  <c:pt idx="5">
                    <c:v>9.2889890849946699E-2</c:v>
                  </c:pt>
                </c:numCache>
              </c:numRef>
            </c:plus>
            <c:minus>
              <c:numRef>
                <c:f>Hoja7!$E$22:$E$27</c:f>
                <c:numCache>
                  <c:formatCode>General</c:formatCode>
                  <c:ptCount val="6"/>
                  <c:pt idx="0">
                    <c:v>0.17589220578651954</c:v>
                  </c:pt>
                  <c:pt idx="1">
                    <c:v>0.13819449221980573</c:v>
                  </c:pt>
                  <c:pt idx="2">
                    <c:v>0.1151862195224963</c:v>
                  </c:pt>
                  <c:pt idx="3">
                    <c:v>0.10511488454708338</c:v>
                  </c:pt>
                  <c:pt idx="4">
                    <c:v>9.7572101145145057E-2</c:v>
                  </c:pt>
                  <c:pt idx="5">
                    <c:v>9.2889890849946699E-2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Hoja7!$C$22:$C$27</c:f>
              <c:numCache>
                <c:formatCode>0.00</c:formatCode>
                <c:ptCount val="6"/>
                <c:pt idx="0">
                  <c:v>1.0423050442374071</c:v>
                </c:pt>
                <c:pt idx="1">
                  <c:v>1.5200281895128855</c:v>
                </c:pt>
                <c:pt idx="2">
                  <c:v>2.1497541537396523</c:v>
                </c:pt>
                <c:pt idx="3">
                  <c:v>2.6130008400673885</c:v>
                </c:pt>
                <c:pt idx="4">
                  <c:v>3.0690092969212546</c:v>
                </c:pt>
                <c:pt idx="5">
                  <c:v>3.5394942127228615</c:v>
                </c:pt>
              </c:numCache>
            </c:numRef>
          </c:xVal>
          <c:yVal>
            <c:numRef>
              <c:f>Hoja7!$D$22:$D$27</c:f>
              <c:numCache>
                <c:formatCode>0.0</c:formatCode>
                <c:ptCount val="6"/>
                <c:pt idx="0">
                  <c:v>2.8782360946885013</c:v>
                </c:pt>
                <c:pt idx="1">
                  <c:v>2.8288949044938407</c:v>
                </c:pt>
                <c:pt idx="2">
                  <c:v>2.8375337660767443</c:v>
                </c:pt>
                <c:pt idx="3">
                  <c:v>2.831992966297384</c:v>
                </c:pt>
                <c:pt idx="4" formatCode="0.00">
                  <c:v>2.8022072167155967</c:v>
                </c:pt>
                <c:pt idx="5" formatCode="0.00">
                  <c:v>2.8252624242341118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B7-4839-8027-DFE75ABFDEEE}"/>
            </c:ext>
          </c:extLst>
        </c:ser>
        <c:ser>
          <c:idx val="3"/>
          <c:order val="3"/>
          <c:tx>
            <c:v>Titanio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Hoja7!$E$31:$E$35</c:f>
                <c:numCache>
                  <c:formatCode>General</c:formatCode>
                  <c:ptCount val="5"/>
                  <c:pt idx="0">
                    <c:v>0.250365370747894</c:v>
                  </c:pt>
                  <c:pt idx="1">
                    <c:v>0.18913568055804741</c:v>
                  </c:pt>
                  <c:pt idx="2">
                    <c:v>0.15724428119725703</c:v>
                  </c:pt>
                  <c:pt idx="3">
                    <c:v>0.141118903091174</c:v>
                  </c:pt>
                  <c:pt idx="4">
                    <c:v>0.13093890416030013</c:v>
                  </c:pt>
                </c:numCache>
              </c:numRef>
            </c:plus>
            <c:minus>
              <c:numRef>
                <c:f>Hoja7!$E$31:$E$35</c:f>
                <c:numCache>
                  <c:formatCode>General</c:formatCode>
                  <c:ptCount val="5"/>
                  <c:pt idx="0">
                    <c:v>0.250365370747894</c:v>
                  </c:pt>
                  <c:pt idx="1">
                    <c:v>0.18913568055804741</c:v>
                  </c:pt>
                  <c:pt idx="2">
                    <c:v>0.15724428119725703</c:v>
                  </c:pt>
                  <c:pt idx="3">
                    <c:v>0.141118903091174</c:v>
                  </c:pt>
                  <c:pt idx="4">
                    <c:v>0.13093890416030013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Hoja7!$C$31:$C$35</c:f>
              <c:numCache>
                <c:formatCode>0.00</c:formatCode>
                <c:ptCount val="5"/>
                <c:pt idx="0">
                  <c:v>0.85444330133988144</c:v>
                </c:pt>
                <c:pt idx="1">
                  <c:v>1.3624906697041352</c:v>
                </c:pt>
                <c:pt idx="2">
                  <c:v>2.0937709726526825</c:v>
                </c:pt>
                <c:pt idx="3">
                  <c:v>2.6864929024109783</c:v>
                </c:pt>
                <c:pt idx="4">
                  <c:v>3.3100055817671077</c:v>
                </c:pt>
              </c:numCache>
            </c:numRef>
          </c:xVal>
          <c:yVal>
            <c:numRef>
              <c:f>Hoja7!$D$31:$D$35</c:f>
              <c:numCache>
                <c:formatCode>0.0</c:formatCode>
                <c:ptCount val="5"/>
                <c:pt idx="0">
                  <c:v>4.5643754171684394</c:v>
                </c:pt>
                <c:pt idx="1">
                  <c:v>4.4770948789870353</c:v>
                </c:pt>
                <c:pt idx="2">
                  <c:v>4.5850286995990652</c:v>
                </c:pt>
                <c:pt idx="3">
                  <c:v>4.5040133882880991</c:v>
                </c:pt>
                <c:pt idx="4">
                  <c:v>4.4712915535625006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B7-4839-8027-DFE75ABFDEEE}"/>
            </c:ext>
          </c:extLst>
        </c:ser>
        <c:ser>
          <c:idx val="4"/>
          <c:order val="4"/>
          <c:tx>
            <c:v>Acero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Hoja7!$E$40:$E$45</c:f>
                <c:numCache>
                  <c:formatCode>General</c:formatCode>
                  <c:ptCount val="6"/>
                  <c:pt idx="0">
                    <c:v>0.32055631526367362</c:v>
                  </c:pt>
                  <c:pt idx="1">
                    <c:v>0.28960167456698022</c:v>
                  </c:pt>
                  <c:pt idx="2">
                    <c:v>0.24621191768799153</c:v>
                  </c:pt>
                  <c:pt idx="3">
                    <c:v>0.22638933580186324</c:v>
                  </c:pt>
                  <c:pt idx="4">
                    <c:v>0.20646904659613416</c:v>
                  </c:pt>
                  <c:pt idx="5">
                    <c:v>0.20313897916104695</c:v>
                  </c:pt>
                </c:numCache>
              </c:numRef>
            </c:plus>
            <c:minus>
              <c:numRef>
                <c:f>Hoja7!$E$40:$E$45</c:f>
                <c:numCache>
                  <c:formatCode>General</c:formatCode>
                  <c:ptCount val="6"/>
                  <c:pt idx="0">
                    <c:v>0.32055631526367362</c:v>
                  </c:pt>
                  <c:pt idx="1">
                    <c:v>0.28960167456698022</c:v>
                  </c:pt>
                  <c:pt idx="2">
                    <c:v>0.24621191768799153</c:v>
                  </c:pt>
                  <c:pt idx="3">
                    <c:v>0.22638933580186324</c:v>
                  </c:pt>
                  <c:pt idx="4">
                    <c:v>0.20646904659613416</c:v>
                  </c:pt>
                  <c:pt idx="5">
                    <c:v>0.20313897916104695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Hoja7!$C$40:$C$45</c:f>
              <c:numCache>
                <c:formatCode>0.00</c:formatCode>
                <c:ptCount val="6"/>
                <c:pt idx="0">
                  <c:v>0.9776062997312156</c:v>
                </c:pt>
                <c:pt idx="1">
                  <c:v>1.2547230461117176</c:v>
                </c:pt>
                <c:pt idx="2">
                  <c:v>1.9552125994624312</c:v>
                </c:pt>
                <c:pt idx="3">
                  <c:v>2.5171437796228937</c:v>
                </c:pt>
                <c:pt idx="4">
                  <c:v>3.3222342311712065</c:v>
                </c:pt>
                <c:pt idx="5">
                  <c:v>3.7564714509356945</c:v>
                </c:pt>
              </c:numCache>
            </c:numRef>
          </c:xVal>
          <c:yVal>
            <c:numRef>
              <c:f>Hoja7!$D$40:$D$45</c:f>
              <c:numCache>
                <c:formatCode>0.0</c:formatCode>
                <c:ptCount val="6"/>
                <c:pt idx="0">
                  <c:v>7.7740906560131151</c:v>
                </c:pt>
                <c:pt idx="1">
                  <c:v>7.9698862876466396</c:v>
                </c:pt>
                <c:pt idx="2">
                  <c:v>8.0809626555925806</c:v>
                </c:pt>
                <c:pt idx="3">
                  <c:v>8.0249686821728812</c:v>
                </c:pt>
                <c:pt idx="4">
                  <c:v>7.8862591186906048</c:v>
                </c:pt>
                <c:pt idx="5">
                  <c:v>7.9329765683636859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B7-4839-8027-DFE75ABFDEEE}"/>
            </c:ext>
          </c:extLst>
        </c:ser>
        <c:ser>
          <c:idx val="5"/>
          <c:order val="5"/>
          <c:tx>
            <c:v>Latón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Hoja7!$E$49:$E$54</c:f>
                <c:numCache>
                  <c:formatCode>General</c:formatCode>
                  <c:ptCount val="6"/>
                  <c:pt idx="0">
                    <c:v>0.37720425416952258</c:v>
                  </c:pt>
                  <c:pt idx="1">
                    <c:v>0.32262651247311913</c:v>
                  </c:pt>
                  <c:pt idx="2">
                    <c:v>0.30044264902422146</c:v>
                  </c:pt>
                  <c:pt idx="3">
                    <c:v>0.26862997604775968</c:v>
                  </c:pt>
                  <c:pt idx="4">
                    <c:v>0.24019730096526323</c:v>
                  </c:pt>
                  <c:pt idx="5">
                    <c:v>0.2253027995811884</c:v>
                  </c:pt>
                </c:numCache>
              </c:numRef>
            </c:plus>
            <c:minus>
              <c:numRef>
                <c:f>Hoja7!$E$49:$E$54</c:f>
                <c:numCache>
                  <c:formatCode>General</c:formatCode>
                  <c:ptCount val="6"/>
                  <c:pt idx="0">
                    <c:v>0.37720425416952258</c:v>
                  </c:pt>
                  <c:pt idx="1">
                    <c:v>0.32262651247311913</c:v>
                  </c:pt>
                  <c:pt idx="2">
                    <c:v>0.30044264902422146</c:v>
                  </c:pt>
                  <c:pt idx="3">
                    <c:v>0.26862997604775968</c:v>
                  </c:pt>
                  <c:pt idx="4">
                    <c:v>0.24019730096526323</c:v>
                  </c:pt>
                  <c:pt idx="5">
                    <c:v>0.2253027995811884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Hoja7!$C$49:$C$54</c:f>
              <c:numCache>
                <c:formatCode>0.00</c:formatCode>
                <c:ptCount val="6"/>
                <c:pt idx="0">
                  <c:v>0.90515567535229102</c:v>
                </c:pt>
                <c:pt idx="1">
                  <c:v>1.2521320175706694</c:v>
                </c:pt>
                <c:pt idx="2">
                  <c:v>1.5010498282925493</c:v>
                </c:pt>
                <c:pt idx="3">
                  <c:v>2.0969439812328075</c:v>
                </c:pt>
                <c:pt idx="4">
                  <c:v>2.6703537555513241</c:v>
                </c:pt>
                <c:pt idx="5">
                  <c:v>3.4950218271186451</c:v>
                </c:pt>
              </c:numCache>
            </c:numRef>
          </c:xVal>
          <c:yVal>
            <c:numRef>
              <c:f>Hoja7!$D$49:$D$54</c:f>
              <c:numCache>
                <c:formatCode>0.0</c:formatCode>
                <c:ptCount val="6"/>
                <c:pt idx="0">
                  <c:v>9.2801716088568735</c:v>
                </c:pt>
                <c:pt idx="1">
                  <c:v>9.1843350690063712</c:v>
                </c:pt>
                <c:pt idx="2">
                  <c:v>9.1935655565129117</c:v>
                </c:pt>
                <c:pt idx="3">
                  <c:v>9.2038700951149881</c:v>
                </c:pt>
                <c:pt idx="4">
                  <c:v>8.8377803693381889</c:v>
                </c:pt>
                <c:pt idx="5">
                  <c:v>8.8411465016441628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B7-4839-8027-DFE75ABFDEEE}"/>
            </c:ext>
          </c:extLst>
        </c:ser>
        <c:ser>
          <c:idx val="6"/>
          <c:order val="6"/>
          <c:tx>
            <c:v>Plomo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Hoja7!$E$58:$E$63</c:f>
                <c:numCache>
                  <c:formatCode>General</c:formatCode>
                  <c:ptCount val="6"/>
                  <c:pt idx="0">
                    <c:v>0.44679198578000423</c:v>
                  </c:pt>
                  <c:pt idx="1">
                    <c:v>0.37682822475787525</c:v>
                  </c:pt>
                  <c:pt idx="2">
                    <c:v>0.36386989863955083</c:v>
                  </c:pt>
                  <c:pt idx="3">
                    <c:v>0.30134697239719638</c:v>
                  </c:pt>
                  <c:pt idx="4">
                    <c:v>0.29891142376637952</c:v>
                  </c:pt>
                  <c:pt idx="5">
                    <c:v>0.27522854420262255</c:v>
                  </c:pt>
                </c:numCache>
              </c:numRef>
            </c:plus>
            <c:minus>
              <c:numRef>
                <c:f>Hoja7!$E$58:$E$63</c:f>
                <c:numCache>
                  <c:formatCode>General</c:formatCode>
                  <c:ptCount val="6"/>
                  <c:pt idx="0">
                    <c:v>0.44679198578000423</c:v>
                  </c:pt>
                  <c:pt idx="1">
                    <c:v>0.37682822475787525</c:v>
                  </c:pt>
                  <c:pt idx="2">
                    <c:v>0.36386989863955083</c:v>
                  </c:pt>
                  <c:pt idx="3">
                    <c:v>0.30134697239719638</c:v>
                  </c:pt>
                  <c:pt idx="4">
                    <c:v>0.29891142376637952</c:v>
                  </c:pt>
                  <c:pt idx="5">
                    <c:v>0.27522854420262255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Hoja7!$C$58:$C$63</c:f>
              <c:numCache>
                <c:formatCode>0.00</c:formatCode>
                <c:ptCount val="6"/>
                <c:pt idx="0">
                  <c:v>0.80896010829937171</c:v>
                </c:pt>
                <c:pt idx="1">
                  <c:v>1.1498558979367268</c:v>
                </c:pt>
                <c:pt idx="2">
                  <c:v>1.3379783930245008</c:v>
                </c:pt>
                <c:pt idx="3">
                  <c:v>1.8089565388727218</c:v>
                </c:pt>
                <c:pt idx="4">
                  <c:v>2.4830221564140915</c:v>
                </c:pt>
                <c:pt idx="5">
                  <c:v>2.9676740842870619</c:v>
                </c:pt>
              </c:numCache>
            </c:numRef>
          </c:xVal>
          <c:yVal>
            <c:numRef>
              <c:f>Hoja7!$D$58:$D$63</c:f>
              <c:numCache>
                <c:formatCode>0.00</c:formatCode>
                <c:ptCount val="6"/>
                <c:pt idx="0">
                  <c:v>10.878163100649935</c:v>
                </c:pt>
                <c:pt idx="1">
                  <c:v>10.870927411364931</c:v>
                </c:pt>
                <c:pt idx="2">
                  <c:v>11.210943374124669</c:v>
                </c:pt>
                <c:pt idx="3">
                  <c:v>10.061048791886178</c:v>
                </c:pt>
                <c:pt idx="4">
                  <c:v>11.357127815857117</c:v>
                </c:pt>
                <c:pt idx="5">
                  <c:v>10.378498152164585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B7-4839-8027-DFE75ABFDEEE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Hoja7!$J$25:$J$26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Hoja7!$K$25:$K$26</c:f>
              <c:numCache>
                <c:formatCode>0.00</c:formatCode>
                <c:ptCount val="2"/>
                <c:pt idx="0">
                  <c:v>0.74859591405153703</c:v>
                </c:pt>
                <c:pt idx="1">
                  <c:v>0.74859591405153703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7B7-4839-8027-DFE75ABFDEEE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Hoja7!$J$25:$J$26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Hoja7!$L$25:$L$26</c:f>
              <c:numCache>
                <c:formatCode>0.00</c:formatCode>
                <c:ptCount val="2"/>
                <c:pt idx="0">
                  <c:v>1.2178612845375756</c:v>
                </c:pt>
                <c:pt idx="1">
                  <c:v>1.2178612845375756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7B7-4839-8027-DFE75ABFDEEE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Hoja7!$J$25:$J$26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Hoja7!$M$25:$M$26</c:f>
              <c:numCache>
                <c:formatCode>0.00</c:formatCode>
                <c:ptCount val="2"/>
                <c:pt idx="0">
                  <c:v>2.83402122875103</c:v>
                </c:pt>
                <c:pt idx="1">
                  <c:v>2.83402122875103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7B7-4839-8027-DFE75ABFDEEE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Hoja7!$J$25:$J$26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Hoja7!$N$25:$N$26</c:f>
              <c:numCache>
                <c:formatCode>0.00</c:formatCode>
                <c:ptCount val="2"/>
                <c:pt idx="0">
                  <c:v>4.5203607875210281</c:v>
                </c:pt>
                <c:pt idx="1">
                  <c:v>4.5203607875210281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7B7-4839-8027-DFE75ABFDEEE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Hoja7!$J$25:$J$26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Hoja7!$Q$25:$Q$26</c:f>
              <c:numCache>
                <c:formatCode>0.00</c:formatCode>
                <c:ptCount val="2"/>
                <c:pt idx="0">
                  <c:v>9.0901448667455824</c:v>
                </c:pt>
                <c:pt idx="1">
                  <c:v>9.0901448667455824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7B7-4839-8027-DFE75ABFDEEE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Hoja7!$J$25:$J$26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Hoja7!$R$25:$R$26</c:f>
              <c:numCache>
                <c:formatCode>0.00</c:formatCode>
                <c:ptCount val="2"/>
                <c:pt idx="0">
                  <c:v>10.792784774341236</c:v>
                </c:pt>
                <c:pt idx="1">
                  <c:v>10.792784774341236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7B7-4839-8027-DFE75ABFDEEE}"/>
            </c:ext>
          </c:extLst>
        </c:ser>
        <c:ser>
          <c:idx val="13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Hoja7!$J$25:$J$26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Hoja7!$O$25:$O$26</c:f>
              <c:numCache>
                <c:formatCode>0.00</c:formatCode>
                <c:ptCount val="2"/>
                <c:pt idx="0">
                  <c:v>7.9448573280799168</c:v>
                </c:pt>
                <c:pt idx="1">
                  <c:v>7.9448573280799168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7B7-4839-8027-DFE75ABFD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630194"/>
        <c:axId val="1133274190"/>
      </c:scatterChart>
      <c:valAx>
        <c:axId val="1731630194"/>
        <c:scaling>
          <c:orientation val="minMax"/>
          <c:max val="4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3274190"/>
        <c:crosses val="autoZero"/>
        <c:crossBetween val="midCat"/>
      </c:valAx>
      <c:valAx>
        <c:axId val="11332741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s-ES" baseline="30000"/>
                  <a:t>G</a:t>
                </a:r>
                <a:r>
                  <a:rPr lang="es-ES"/>
                  <a:t> /g·</a:t>
                </a:r>
                <a:r>
                  <a:rPr lang="es-E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cm</a:t>
                </a:r>
                <a:r>
                  <a:rPr lang="es-ES" sz="8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-3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1630194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Densidad: </a:t>
            </a:r>
            <a:r>
              <a:rPr lang="el-GR"/>
              <a:t>δρ</a:t>
            </a:r>
            <a:r>
              <a:rPr lang="es-ES" baseline="30000"/>
              <a:t>G</a:t>
            </a:r>
            <a:r>
              <a:rPr lang="es-ES"/>
              <a:t> vs 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Madera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blipFill rotWithShape="1">
                <a:blip xmlns:r="http://schemas.openxmlformats.org/officeDocument/2006/relationships" r:embed="rId3">
                  <a:duotone>
                    <a:schemeClr val="accent1">
                      <a:tint val="98000"/>
                      <a:lumMod val="102000"/>
                    </a:schemeClr>
                    <a:schemeClr val="accent1">
                      <a:shade val="98000"/>
                      <a:lumMod val="98000"/>
                    </a:schemeClr>
                  </a:duotone>
                </a:blip>
                <a:tile tx="0" ty="0" sx="100000" sy="100000" flip="none" algn="tl"/>
              </a:blip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wer"/>
            <c:forward val="2"/>
            <c:backward val="1.5"/>
            <c:dispRSqr val="0"/>
            <c:dispEq val="0"/>
          </c:trendline>
          <c:xVal>
            <c:numRef>
              <c:f>Hoja7!$B$4:$B$9</c:f>
              <c:numCache>
                <c:formatCode>General</c:formatCode>
                <c:ptCount val="6"/>
                <c:pt idx="0">
                  <c:v>1.34</c:v>
                </c:pt>
                <c:pt idx="1">
                  <c:v>1.63</c:v>
                </c:pt>
                <c:pt idx="2">
                  <c:v>2.4900000000000002</c:v>
                </c:pt>
                <c:pt idx="3">
                  <c:v>3</c:v>
                </c:pt>
                <c:pt idx="4">
                  <c:v>3.98</c:v>
                </c:pt>
                <c:pt idx="5">
                  <c:v>5.17</c:v>
                </c:pt>
              </c:numCache>
            </c:numRef>
          </c:xVal>
          <c:yVal>
            <c:numRef>
              <c:f>Hoja7!$E$4:$E$9</c:f>
              <c:numCache>
                <c:formatCode>0.0</c:formatCode>
                <c:ptCount val="6"/>
                <c:pt idx="0">
                  <c:v>0.12643977675931664</c:v>
                </c:pt>
                <c:pt idx="1">
                  <c:v>0.10532985640655013</c:v>
                </c:pt>
                <c:pt idx="2" formatCode="0.00">
                  <c:v>7.1448226783426549E-2</c:v>
                </c:pt>
                <c:pt idx="3" formatCode="0.00">
                  <c:v>5.9609489843339684E-2</c:v>
                </c:pt>
                <c:pt idx="4" formatCode="0.00">
                  <c:v>5.0106796769610919E-2</c:v>
                </c:pt>
                <c:pt idx="5" formatCode="0.00">
                  <c:v>4.2702901111807634E-2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38-4D16-9FD3-A7ADACEABD1F}"/>
            </c:ext>
          </c:extLst>
        </c:ser>
        <c:ser>
          <c:idx val="1"/>
          <c:order val="1"/>
          <c:tx>
            <c:v>Plástico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blipFill rotWithShape="1">
                <a:blip xmlns:r="http://schemas.openxmlformats.org/officeDocument/2006/relationships" r:embed="rId3">
                  <a:duotone>
                    <a:schemeClr val="accent2">
                      <a:tint val="98000"/>
                      <a:lumMod val="102000"/>
                    </a:schemeClr>
                    <a:schemeClr val="accent2">
                      <a:shade val="98000"/>
                      <a:lumMod val="98000"/>
                    </a:schemeClr>
                  </a:duotone>
                </a:blip>
                <a:tile tx="0" ty="0" sx="100000" sy="100000" flip="none" algn="tl"/>
              </a:blip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power"/>
            <c:forward val="2"/>
            <c:backward val="1.5"/>
            <c:dispRSqr val="0"/>
            <c:dispEq val="0"/>
          </c:trendline>
          <c:xVal>
            <c:numRef>
              <c:f>Hoja7!$B$13:$B$18</c:f>
              <c:numCache>
                <c:formatCode>General</c:formatCode>
                <c:ptCount val="6"/>
                <c:pt idx="0">
                  <c:v>0.88</c:v>
                </c:pt>
                <c:pt idx="1">
                  <c:v>1.8</c:v>
                </c:pt>
                <c:pt idx="2">
                  <c:v>2.52</c:v>
                </c:pt>
                <c:pt idx="3">
                  <c:v>3.1</c:v>
                </c:pt>
                <c:pt idx="4">
                  <c:v>3.66</c:v>
                </c:pt>
                <c:pt idx="5">
                  <c:v>4.2699999999999996</c:v>
                </c:pt>
              </c:numCache>
            </c:numRef>
          </c:xVal>
          <c:yVal>
            <c:numRef>
              <c:f>Hoja7!$E$13:$E$18</c:f>
              <c:numCache>
                <c:formatCode>0.0</c:formatCode>
                <c:ptCount val="6"/>
                <c:pt idx="0">
                  <c:v>0.18894405246570267</c:v>
                </c:pt>
                <c:pt idx="1">
                  <c:v>0.10616098123258597</c:v>
                </c:pt>
                <c:pt idx="2" formatCode="0.000">
                  <c:v>8.2104140119031457E-2</c:v>
                </c:pt>
                <c:pt idx="3" formatCode="0.00">
                  <c:v>7.1066063882303465E-2</c:v>
                </c:pt>
                <c:pt idx="4" formatCode="0.00">
                  <c:v>6.4721181898509825E-2</c:v>
                </c:pt>
                <c:pt idx="5" formatCode="0.00">
                  <c:v>5.859496199521097E-2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38-4D16-9FD3-A7ADACEABD1F}"/>
            </c:ext>
          </c:extLst>
        </c:ser>
        <c:ser>
          <c:idx val="2"/>
          <c:order val="2"/>
          <c:tx>
            <c:v>Aluminio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blipFill rotWithShape="1">
                <a:blip xmlns:r="http://schemas.openxmlformats.org/officeDocument/2006/relationships" r:embed="rId3">
                  <a:duotone>
                    <a:schemeClr val="accent3">
                      <a:tint val="98000"/>
                      <a:lumMod val="102000"/>
                    </a:schemeClr>
                    <a:schemeClr val="accent3">
                      <a:shade val="98000"/>
                      <a:lumMod val="98000"/>
                    </a:schemeClr>
                  </a:duotone>
                </a:blip>
                <a:tile tx="0" ty="0" sx="100000" sy="100000" flip="none" algn="tl"/>
              </a:blip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power"/>
            <c:forward val="2"/>
            <c:backward val="1.5"/>
            <c:dispRSqr val="0"/>
            <c:dispEq val="0"/>
          </c:trendline>
          <c:xVal>
            <c:numRef>
              <c:f>Hoja7!$B$22:$B$27</c:f>
              <c:numCache>
                <c:formatCode>General</c:formatCode>
                <c:ptCount val="6"/>
                <c:pt idx="0">
                  <c:v>1.44</c:v>
                </c:pt>
                <c:pt idx="1">
                  <c:v>2.1</c:v>
                </c:pt>
                <c:pt idx="2">
                  <c:v>2.97</c:v>
                </c:pt>
                <c:pt idx="3">
                  <c:v>3.61</c:v>
                </c:pt>
                <c:pt idx="4">
                  <c:v>4.24</c:v>
                </c:pt>
                <c:pt idx="5">
                  <c:v>4.8899999999999997</c:v>
                </c:pt>
              </c:numCache>
            </c:numRef>
          </c:xVal>
          <c:yVal>
            <c:numRef>
              <c:f>Hoja7!$E$22:$E$27</c:f>
              <c:numCache>
                <c:formatCode>0.0</c:formatCode>
                <c:ptCount val="6"/>
                <c:pt idx="0">
                  <c:v>0.17589220578651954</c:v>
                </c:pt>
                <c:pt idx="1">
                  <c:v>0.13819449221980573</c:v>
                </c:pt>
                <c:pt idx="2">
                  <c:v>0.1151862195224963</c:v>
                </c:pt>
                <c:pt idx="3">
                  <c:v>0.10511488454708338</c:v>
                </c:pt>
                <c:pt idx="4" formatCode="0.00">
                  <c:v>9.7572101145145057E-2</c:v>
                </c:pt>
                <c:pt idx="5" formatCode="0.00">
                  <c:v>9.2889890849946699E-2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38-4D16-9FD3-A7ADACEABD1F}"/>
            </c:ext>
          </c:extLst>
        </c:ser>
        <c:ser>
          <c:idx val="3"/>
          <c:order val="3"/>
          <c:tx>
            <c:v>Titanio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blipFill rotWithShape="1">
                <a:blip xmlns:r="http://schemas.openxmlformats.org/officeDocument/2006/relationships" r:embed="rId3">
                  <a:duotone>
                    <a:schemeClr val="accent4">
                      <a:tint val="98000"/>
                      <a:lumMod val="102000"/>
                    </a:schemeClr>
                    <a:schemeClr val="accent4">
                      <a:shade val="98000"/>
                      <a:lumMod val="98000"/>
                    </a:schemeClr>
                  </a:duotone>
                </a:blip>
                <a:tile tx="0" ty="0" sx="100000" sy="100000" flip="none" algn="tl"/>
              </a:blip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power"/>
            <c:forward val="2"/>
            <c:backward val="2"/>
            <c:dispRSqr val="0"/>
            <c:dispEq val="0"/>
          </c:trendline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power"/>
            <c:dispRSqr val="0"/>
            <c:dispEq val="0"/>
          </c:trendline>
          <c:xVal>
            <c:numRef>
              <c:f>Hoja7!$B$31:$B$35</c:f>
              <c:numCache>
                <c:formatCode>General</c:formatCode>
                <c:ptCount val="5"/>
                <c:pt idx="0">
                  <c:v>1.1100000000000001</c:v>
                </c:pt>
                <c:pt idx="1">
                  <c:v>1.77</c:v>
                </c:pt>
                <c:pt idx="2">
                  <c:v>2.72</c:v>
                </c:pt>
                <c:pt idx="3">
                  <c:v>3.49</c:v>
                </c:pt>
                <c:pt idx="4">
                  <c:v>4.3</c:v>
                </c:pt>
              </c:numCache>
            </c:numRef>
          </c:xVal>
          <c:yVal>
            <c:numRef>
              <c:f>Hoja7!$E$31:$E$35</c:f>
              <c:numCache>
                <c:formatCode>0.0</c:formatCode>
                <c:ptCount val="5"/>
                <c:pt idx="0">
                  <c:v>0.250365370747894</c:v>
                </c:pt>
                <c:pt idx="1">
                  <c:v>0.18913568055804741</c:v>
                </c:pt>
                <c:pt idx="2">
                  <c:v>0.15724428119725703</c:v>
                </c:pt>
                <c:pt idx="3">
                  <c:v>0.141118903091174</c:v>
                </c:pt>
                <c:pt idx="4">
                  <c:v>0.13093890416030013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38-4D16-9FD3-A7ADACEABD1F}"/>
            </c:ext>
          </c:extLst>
        </c:ser>
        <c:ser>
          <c:idx val="4"/>
          <c:order val="4"/>
          <c:tx>
            <c:v>Acero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blipFill rotWithShape="1">
                <a:blip xmlns:r="http://schemas.openxmlformats.org/officeDocument/2006/relationships" r:embed="rId3">
                  <a:duotone>
                    <a:schemeClr val="accent5">
                      <a:tint val="98000"/>
                      <a:lumMod val="102000"/>
                    </a:schemeClr>
                    <a:schemeClr val="accent5">
                      <a:shade val="98000"/>
                      <a:lumMod val="98000"/>
                    </a:schemeClr>
                  </a:duotone>
                </a:blip>
                <a:tile tx="0" ty="0" sx="100000" sy="100000" flip="none" algn="tl"/>
              </a:blip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</a:ln>
              <a:effectLst/>
            </c:spPr>
            <c:trendlineType val="power"/>
            <c:forward val="2"/>
            <c:backward val="1.5"/>
            <c:dispRSqr val="0"/>
            <c:dispEq val="0"/>
          </c:trendline>
          <c:xVal>
            <c:numRef>
              <c:f>Hoja7!$B$40:$B$45</c:f>
              <c:numCache>
                <c:formatCode>General</c:formatCode>
                <c:ptCount val="6"/>
                <c:pt idx="0">
                  <c:v>1.27</c:v>
                </c:pt>
                <c:pt idx="1">
                  <c:v>1.63</c:v>
                </c:pt>
                <c:pt idx="2">
                  <c:v>2.54</c:v>
                </c:pt>
                <c:pt idx="3">
                  <c:v>3.27</c:v>
                </c:pt>
                <c:pt idx="4">
                  <c:v>4.2300000000000004</c:v>
                </c:pt>
                <c:pt idx="5">
                  <c:v>4.88</c:v>
                </c:pt>
              </c:numCache>
            </c:numRef>
          </c:xVal>
          <c:yVal>
            <c:numRef>
              <c:f>Hoja7!$E$40:$E$45</c:f>
              <c:numCache>
                <c:formatCode>0.0</c:formatCode>
                <c:ptCount val="6"/>
                <c:pt idx="0">
                  <c:v>0.32055631526367362</c:v>
                </c:pt>
                <c:pt idx="1">
                  <c:v>0.28960167456698022</c:v>
                </c:pt>
                <c:pt idx="2">
                  <c:v>0.24621191768799153</c:v>
                </c:pt>
                <c:pt idx="3">
                  <c:v>0.22638933580186324</c:v>
                </c:pt>
                <c:pt idx="4">
                  <c:v>0.20646904659613416</c:v>
                </c:pt>
                <c:pt idx="5">
                  <c:v>0.20313897916104695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38-4D16-9FD3-A7ADACEABD1F}"/>
            </c:ext>
          </c:extLst>
        </c:ser>
        <c:ser>
          <c:idx val="5"/>
          <c:order val="5"/>
          <c:tx>
            <c:v>Latón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blipFill rotWithShape="1">
                <a:blip xmlns:r="http://schemas.openxmlformats.org/officeDocument/2006/relationships" r:embed="rId3">
                  <a:duotone>
                    <a:schemeClr val="accent6">
                      <a:tint val="98000"/>
                      <a:lumMod val="102000"/>
                    </a:schemeClr>
                    <a:schemeClr val="accent6">
                      <a:shade val="98000"/>
                      <a:lumMod val="98000"/>
                    </a:schemeClr>
                  </a:duotone>
                </a:blip>
                <a:tile tx="0" ty="0" sx="100000" sy="100000" flip="none" algn="tl"/>
              </a:blip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power"/>
            <c:forward val="2"/>
            <c:backward val="1"/>
            <c:dispRSqr val="0"/>
            <c:dispEq val="0"/>
          </c:trendline>
          <c:xVal>
            <c:numRef>
              <c:f>Hoja7!$B$49:$B$54</c:f>
              <c:numCache>
                <c:formatCode>General</c:formatCode>
                <c:ptCount val="6"/>
                <c:pt idx="0">
                  <c:v>1.2</c:v>
                </c:pt>
                <c:pt idx="1">
                  <c:v>1.66</c:v>
                </c:pt>
                <c:pt idx="2">
                  <c:v>1.99</c:v>
                </c:pt>
                <c:pt idx="3">
                  <c:v>2.78</c:v>
                </c:pt>
                <c:pt idx="4">
                  <c:v>3.4</c:v>
                </c:pt>
                <c:pt idx="5">
                  <c:v>4.45</c:v>
                </c:pt>
              </c:numCache>
            </c:numRef>
          </c:xVal>
          <c:yVal>
            <c:numRef>
              <c:f>Hoja7!$E$49:$E$54</c:f>
              <c:numCache>
                <c:formatCode>0.0</c:formatCode>
                <c:ptCount val="6"/>
                <c:pt idx="0">
                  <c:v>0.37720425416952258</c:v>
                </c:pt>
                <c:pt idx="1">
                  <c:v>0.32262651247311913</c:v>
                </c:pt>
                <c:pt idx="2">
                  <c:v>0.30044264902422146</c:v>
                </c:pt>
                <c:pt idx="3">
                  <c:v>0.26862997604775968</c:v>
                </c:pt>
                <c:pt idx="4">
                  <c:v>0.24019730096526323</c:v>
                </c:pt>
                <c:pt idx="5">
                  <c:v>0.2253027995811884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38-4D16-9FD3-A7ADACEABD1F}"/>
            </c:ext>
          </c:extLst>
        </c:ser>
        <c:ser>
          <c:idx val="6"/>
          <c:order val="6"/>
          <c:tx>
            <c:v>Plomo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blipFill rotWithShape="1">
                <a:blip xmlns:r="http://schemas.openxmlformats.org/officeDocument/2006/relationships" r:embed="rId3">
                  <a:duotone>
                    <a:schemeClr val="accent1">
                      <a:lumMod val="60000"/>
                      <a:tint val="98000"/>
                      <a:lumMod val="102000"/>
                    </a:schemeClr>
                    <a:schemeClr val="accent1">
                      <a:lumMod val="60000"/>
                      <a:shade val="98000"/>
                      <a:lumMod val="98000"/>
                    </a:schemeClr>
                  </a:duotone>
                </a:blip>
                <a:tile tx="0" ty="0" sx="100000" sy="100000" flip="none" algn="tl"/>
              </a:blip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>
                    <a:lumMod val="60000"/>
                  </a:schemeClr>
                </a:solidFill>
              </a:ln>
              <a:effectLst/>
            </c:spPr>
            <c:trendlineType val="power"/>
            <c:forward val="2"/>
            <c:backward val="2"/>
            <c:dispRSqr val="0"/>
            <c:dispEq val="0"/>
          </c:trendline>
          <c:xVal>
            <c:numRef>
              <c:f>Hoja7!$B$58:$B$63</c:f>
              <c:numCache>
                <c:formatCode>General</c:formatCode>
                <c:ptCount val="6"/>
                <c:pt idx="0">
                  <c:v>1.03</c:v>
                </c:pt>
                <c:pt idx="1">
                  <c:v>1.38</c:v>
                </c:pt>
                <c:pt idx="2">
                  <c:v>1.67</c:v>
                </c:pt>
                <c:pt idx="3">
                  <c:v>2.35</c:v>
                </c:pt>
                <c:pt idx="4">
                  <c:v>2.98</c:v>
                </c:pt>
                <c:pt idx="5">
                  <c:v>4.0999999999999996</c:v>
                </c:pt>
              </c:numCache>
            </c:numRef>
          </c:xVal>
          <c:yVal>
            <c:numRef>
              <c:f>Hoja7!$E$58:$E$63</c:f>
              <c:numCache>
                <c:formatCode>0.00</c:formatCode>
                <c:ptCount val="6"/>
                <c:pt idx="0">
                  <c:v>0.44679198578000423</c:v>
                </c:pt>
                <c:pt idx="1">
                  <c:v>0.37682822475787525</c:v>
                </c:pt>
                <c:pt idx="2">
                  <c:v>0.36386989863955083</c:v>
                </c:pt>
                <c:pt idx="3">
                  <c:v>0.30134697239719638</c:v>
                </c:pt>
                <c:pt idx="4">
                  <c:v>0.29891142376637952</c:v>
                </c:pt>
                <c:pt idx="5">
                  <c:v>0.27522854420262255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38-4D16-9FD3-A7ADACEAB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748479"/>
        <c:axId val="1784085115"/>
      </c:scatterChart>
      <c:valAx>
        <c:axId val="243748479"/>
        <c:scaling>
          <c:orientation val="minMax"/>
          <c:max val="5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H/CM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4085115"/>
        <c:crosses val="autoZero"/>
        <c:crossBetween val="midCat"/>
      </c:valAx>
      <c:valAx>
        <c:axId val="1784085115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δρ</a:t>
                </a:r>
                <a:r>
                  <a:rPr lang="es-ES" baseline="30000"/>
                  <a:t>G</a:t>
                </a:r>
                <a:r>
                  <a:rPr lang="es-ES"/>
                  <a:t> /g·</a:t>
                </a:r>
                <a:r>
                  <a:rPr lang="es-ES" sz="800" b="1" i="0" u="none" strike="noStrike" kern="1200" baseline="0">
                    <a:solidFill>
                      <a:srgbClr val="212121"/>
                    </a:solidFill>
                  </a:rPr>
                  <a:t>cm</a:t>
                </a:r>
                <a:r>
                  <a:rPr lang="es-ES" sz="800" b="1" i="0" u="none" strike="noStrike" kern="1200" baseline="30000">
                    <a:solidFill>
                      <a:srgbClr val="212121"/>
                    </a:solidFill>
                  </a:rPr>
                  <a:t>-3</a:t>
                </a:r>
                <a:r>
                  <a:rPr lang="es-E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3748479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Densidad: </a:t>
            </a:r>
            <a:r>
              <a:rPr lang="el-GR"/>
              <a:t>δρ</a:t>
            </a:r>
            <a:r>
              <a:rPr lang="es-ES" baseline="30000"/>
              <a:t>G</a:t>
            </a:r>
            <a:r>
              <a:rPr lang="es-ES"/>
              <a:t> vs 1/h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Madera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Linear (Madera)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backward val="2"/>
            <c:dispRSqr val="0"/>
            <c:dispEq val="0"/>
          </c:trendline>
          <c:xVal>
            <c:numRef>
              <c:f>Hoja7!$G$4:$G$9</c:f>
              <c:numCache>
                <c:formatCode>0.000</c:formatCode>
                <c:ptCount val="6"/>
                <c:pt idx="0">
                  <c:v>0.74626865671641784</c:v>
                </c:pt>
                <c:pt idx="1">
                  <c:v>0.61349693251533743</c:v>
                </c:pt>
                <c:pt idx="2">
                  <c:v>0.40160642570281119</c:v>
                </c:pt>
                <c:pt idx="3">
                  <c:v>0.33333333333333331</c:v>
                </c:pt>
                <c:pt idx="4" formatCode="0.0000">
                  <c:v>0.25125628140703515</c:v>
                </c:pt>
                <c:pt idx="5" formatCode="0.0000">
                  <c:v>0.19342359767891684</c:v>
                </c:pt>
              </c:numCache>
            </c:numRef>
          </c:xVal>
          <c:yVal>
            <c:numRef>
              <c:f>Hoja7!$E$4:$E$9</c:f>
              <c:numCache>
                <c:formatCode>0.0</c:formatCode>
                <c:ptCount val="6"/>
                <c:pt idx="0">
                  <c:v>0.12643977675931664</c:v>
                </c:pt>
                <c:pt idx="1">
                  <c:v>0.10532985640655013</c:v>
                </c:pt>
                <c:pt idx="2" formatCode="0.00">
                  <c:v>7.1448226783426549E-2</c:v>
                </c:pt>
                <c:pt idx="3" formatCode="0.00">
                  <c:v>5.9609489843339684E-2</c:v>
                </c:pt>
                <c:pt idx="4" formatCode="0.00">
                  <c:v>5.0106796769610919E-2</c:v>
                </c:pt>
                <c:pt idx="5" formatCode="0.00">
                  <c:v>4.2702901111807634E-2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07-4FE7-9028-0F92A0E49C80}"/>
            </c:ext>
          </c:extLst>
        </c:ser>
        <c:ser>
          <c:idx val="1"/>
          <c:order val="1"/>
          <c:tx>
            <c:v>Plástico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Linear (Plástico)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"/>
            <c:backward val="2"/>
            <c:dispRSqr val="0"/>
            <c:dispEq val="0"/>
          </c:trendline>
          <c:xVal>
            <c:numRef>
              <c:f>Hoja7!$G$13:$G$18</c:f>
              <c:numCache>
                <c:formatCode>0.000</c:formatCode>
                <c:ptCount val="6"/>
                <c:pt idx="0" formatCode="0.00">
                  <c:v>1.1363636363636365</c:v>
                </c:pt>
                <c:pt idx="1">
                  <c:v>0.55555555555555558</c:v>
                </c:pt>
                <c:pt idx="2">
                  <c:v>0.3968253968253968</c:v>
                </c:pt>
                <c:pt idx="3">
                  <c:v>0.32258064516129031</c:v>
                </c:pt>
                <c:pt idx="4" formatCode="0.0000">
                  <c:v>0.27322404371584696</c:v>
                </c:pt>
                <c:pt idx="5" formatCode="0.0000">
                  <c:v>0.23419203747072601</c:v>
                </c:pt>
              </c:numCache>
            </c:numRef>
          </c:xVal>
          <c:yVal>
            <c:numRef>
              <c:f>Hoja7!$E$13:$E$18</c:f>
              <c:numCache>
                <c:formatCode>0.0</c:formatCode>
                <c:ptCount val="6"/>
                <c:pt idx="0">
                  <c:v>0.18894405246570267</c:v>
                </c:pt>
                <c:pt idx="1">
                  <c:v>0.10616098123258597</c:v>
                </c:pt>
                <c:pt idx="2" formatCode="0.000">
                  <c:v>8.2104140119031457E-2</c:v>
                </c:pt>
                <c:pt idx="3" formatCode="0.00">
                  <c:v>7.1066063882303465E-2</c:v>
                </c:pt>
                <c:pt idx="4" formatCode="0.00">
                  <c:v>6.4721181898509825E-2</c:v>
                </c:pt>
                <c:pt idx="5" formatCode="0.00">
                  <c:v>5.859496199521097E-2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07-4FE7-9028-0F92A0E49C80}"/>
            </c:ext>
          </c:extLst>
        </c:ser>
        <c:ser>
          <c:idx val="2"/>
          <c:order val="2"/>
          <c:tx>
            <c:v>Aluminio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Linear (Aluminio)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"/>
            <c:backward val="2"/>
            <c:dispRSqr val="0"/>
            <c:dispEq val="0"/>
          </c:trendline>
          <c:xVal>
            <c:numRef>
              <c:f>Hoja7!$G$22:$G$27</c:f>
              <c:numCache>
                <c:formatCode>0.000</c:formatCode>
                <c:ptCount val="6"/>
                <c:pt idx="0">
                  <c:v>0.69444444444444442</c:v>
                </c:pt>
                <c:pt idx="1">
                  <c:v>0.47619047619047616</c:v>
                </c:pt>
                <c:pt idx="2">
                  <c:v>0.33670033670033667</c:v>
                </c:pt>
                <c:pt idx="3" formatCode="0.0000">
                  <c:v>0.2770083102493075</c:v>
                </c:pt>
                <c:pt idx="4" formatCode="0.0000">
                  <c:v>0.23584905660377356</c:v>
                </c:pt>
                <c:pt idx="5" formatCode="0.0000">
                  <c:v>0.20449897750511248</c:v>
                </c:pt>
              </c:numCache>
            </c:numRef>
          </c:xVal>
          <c:yVal>
            <c:numRef>
              <c:f>Hoja7!$E$22:$E$27</c:f>
              <c:numCache>
                <c:formatCode>0.0</c:formatCode>
                <c:ptCount val="6"/>
                <c:pt idx="0">
                  <c:v>0.17589220578651954</c:v>
                </c:pt>
                <c:pt idx="1">
                  <c:v>0.13819449221980573</c:v>
                </c:pt>
                <c:pt idx="2">
                  <c:v>0.1151862195224963</c:v>
                </c:pt>
                <c:pt idx="3">
                  <c:v>0.10511488454708338</c:v>
                </c:pt>
                <c:pt idx="4" formatCode="0.00">
                  <c:v>9.7572101145145057E-2</c:v>
                </c:pt>
                <c:pt idx="5" formatCode="0.00">
                  <c:v>9.2889890849946699E-2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07-4FE7-9028-0F92A0E49C80}"/>
            </c:ext>
          </c:extLst>
        </c:ser>
        <c:ser>
          <c:idx val="3"/>
          <c:order val="3"/>
          <c:tx>
            <c:v>Titanio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name>Linear (Titanio)</c:nam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"/>
            <c:backward val="2"/>
            <c:dispRSqr val="0"/>
            <c:dispEq val="0"/>
          </c:trendline>
          <c:xVal>
            <c:numRef>
              <c:f>Hoja7!$G$31:$G$35</c:f>
              <c:numCache>
                <c:formatCode>0.000</c:formatCode>
                <c:ptCount val="5"/>
                <c:pt idx="0">
                  <c:v>0.9009009009009008</c:v>
                </c:pt>
                <c:pt idx="1">
                  <c:v>0.56497175141242939</c:v>
                </c:pt>
                <c:pt idx="2">
                  <c:v>0.36764705882352938</c:v>
                </c:pt>
                <c:pt idx="3" formatCode="0.0000">
                  <c:v>0.28653295128939826</c:v>
                </c:pt>
                <c:pt idx="4" formatCode="0.0000">
                  <c:v>0.23255813953488372</c:v>
                </c:pt>
              </c:numCache>
            </c:numRef>
          </c:xVal>
          <c:yVal>
            <c:numRef>
              <c:f>Hoja7!$E$31:$E$35</c:f>
              <c:numCache>
                <c:formatCode>0.0</c:formatCode>
                <c:ptCount val="5"/>
                <c:pt idx="0">
                  <c:v>0.250365370747894</c:v>
                </c:pt>
                <c:pt idx="1">
                  <c:v>0.18913568055804741</c:v>
                </c:pt>
                <c:pt idx="2">
                  <c:v>0.15724428119725703</c:v>
                </c:pt>
                <c:pt idx="3">
                  <c:v>0.141118903091174</c:v>
                </c:pt>
                <c:pt idx="4">
                  <c:v>0.13093890416030013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07-4FE7-9028-0F92A0E49C80}"/>
            </c:ext>
          </c:extLst>
        </c:ser>
        <c:ser>
          <c:idx val="4"/>
          <c:order val="4"/>
          <c:tx>
            <c:v>Acero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name>Linear (Acero)</c:nam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5"/>
            <c:backward val="2"/>
            <c:dispRSqr val="0"/>
            <c:dispEq val="0"/>
          </c:trendline>
          <c:xVal>
            <c:numRef>
              <c:f>Hoja7!$G$40:$G$45</c:f>
              <c:numCache>
                <c:formatCode>0.000</c:formatCode>
                <c:ptCount val="6"/>
                <c:pt idx="0">
                  <c:v>0.78740157480314954</c:v>
                </c:pt>
                <c:pt idx="1">
                  <c:v>0.61349693251533743</c:v>
                </c:pt>
                <c:pt idx="2">
                  <c:v>0.39370078740157477</c:v>
                </c:pt>
                <c:pt idx="3" formatCode="0.0000">
                  <c:v>0.3058103975535168</c:v>
                </c:pt>
                <c:pt idx="4" formatCode="0.0000">
                  <c:v>0.23640661938534277</c:v>
                </c:pt>
                <c:pt idx="5" formatCode="0.0000">
                  <c:v>0.20491803278688525</c:v>
                </c:pt>
              </c:numCache>
            </c:numRef>
          </c:xVal>
          <c:yVal>
            <c:numRef>
              <c:f>Hoja7!$E$40:$E$45</c:f>
              <c:numCache>
                <c:formatCode>0.0</c:formatCode>
                <c:ptCount val="6"/>
                <c:pt idx="0">
                  <c:v>0.32055631526367362</c:v>
                </c:pt>
                <c:pt idx="1">
                  <c:v>0.28960167456698022</c:v>
                </c:pt>
                <c:pt idx="2">
                  <c:v>0.24621191768799153</c:v>
                </c:pt>
                <c:pt idx="3">
                  <c:v>0.22638933580186324</c:v>
                </c:pt>
                <c:pt idx="4">
                  <c:v>0.20646904659613416</c:v>
                </c:pt>
                <c:pt idx="5">
                  <c:v>0.20313897916104695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F07-4FE7-9028-0F92A0E49C80}"/>
            </c:ext>
          </c:extLst>
        </c:ser>
        <c:ser>
          <c:idx val="5"/>
          <c:order val="5"/>
          <c:tx>
            <c:v>Latón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name>Linear (Latón)</c:nam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forward val="5"/>
            <c:backward val="2"/>
            <c:dispRSqr val="0"/>
            <c:dispEq val="0"/>
          </c:trendline>
          <c:xVal>
            <c:numRef>
              <c:f>Hoja7!$G$49:$G$54</c:f>
              <c:numCache>
                <c:formatCode>0.000</c:formatCode>
                <c:ptCount val="6"/>
                <c:pt idx="0">
                  <c:v>0.83333333333333337</c:v>
                </c:pt>
                <c:pt idx="1">
                  <c:v>0.60240963855421692</c:v>
                </c:pt>
                <c:pt idx="2">
                  <c:v>0.50251256281407031</c:v>
                </c:pt>
                <c:pt idx="3">
                  <c:v>0.35971223021582738</c:v>
                </c:pt>
                <c:pt idx="4" formatCode="0.0000">
                  <c:v>0.29411764705882354</c:v>
                </c:pt>
                <c:pt idx="5" formatCode="0.0000">
                  <c:v>0.2247191011235955</c:v>
                </c:pt>
              </c:numCache>
            </c:numRef>
          </c:xVal>
          <c:yVal>
            <c:numRef>
              <c:f>Hoja7!$E$49:$E$54</c:f>
              <c:numCache>
                <c:formatCode>0.0</c:formatCode>
                <c:ptCount val="6"/>
                <c:pt idx="0">
                  <c:v>0.37720425416952258</c:v>
                </c:pt>
                <c:pt idx="1">
                  <c:v>0.32262651247311913</c:v>
                </c:pt>
                <c:pt idx="2">
                  <c:v>0.30044264902422146</c:v>
                </c:pt>
                <c:pt idx="3">
                  <c:v>0.26862997604775968</c:v>
                </c:pt>
                <c:pt idx="4">
                  <c:v>0.24019730096526323</c:v>
                </c:pt>
                <c:pt idx="5">
                  <c:v>0.2253027995811884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F07-4FE7-9028-0F92A0E49C80}"/>
            </c:ext>
          </c:extLst>
        </c:ser>
        <c:ser>
          <c:idx val="6"/>
          <c:order val="6"/>
          <c:tx>
            <c:v>Plomo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name>Linear (Plomo)</c:nam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forward val="5"/>
            <c:backward val="2"/>
            <c:dispRSqr val="0"/>
            <c:dispEq val="0"/>
          </c:trendline>
          <c:xVal>
            <c:numRef>
              <c:f>Hoja7!$G$58:$G$63</c:f>
              <c:numCache>
                <c:formatCode>0.000</c:formatCode>
                <c:ptCount val="6"/>
                <c:pt idx="0">
                  <c:v>0.970873786407767</c:v>
                </c:pt>
                <c:pt idx="1">
                  <c:v>0.7246376811594204</c:v>
                </c:pt>
                <c:pt idx="2">
                  <c:v>0.5988023952095809</c:v>
                </c:pt>
                <c:pt idx="3">
                  <c:v>0.42553191489361702</c:v>
                </c:pt>
                <c:pt idx="4">
                  <c:v>0.33557046979865773</c:v>
                </c:pt>
                <c:pt idx="5">
                  <c:v>0.24390243902439027</c:v>
                </c:pt>
              </c:numCache>
            </c:numRef>
          </c:xVal>
          <c:yVal>
            <c:numRef>
              <c:f>Hoja7!$E$58:$E$63</c:f>
              <c:numCache>
                <c:formatCode>0.00</c:formatCode>
                <c:ptCount val="6"/>
                <c:pt idx="0">
                  <c:v>0.44679198578000423</c:v>
                </c:pt>
                <c:pt idx="1">
                  <c:v>0.37682822475787525</c:v>
                </c:pt>
                <c:pt idx="2">
                  <c:v>0.36386989863955083</c:v>
                </c:pt>
                <c:pt idx="3">
                  <c:v>0.30134697239719638</c:v>
                </c:pt>
                <c:pt idx="4">
                  <c:v>0.29891142376637952</c:v>
                </c:pt>
                <c:pt idx="5">
                  <c:v>0.27522854420262255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F07-4FE7-9028-0F92A0E4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873637"/>
        <c:axId val="2131922688"/>
      </c:scatterChart>
      <c:valAx>
        <c:axId val="1450873637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CM /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1922688"/>
        <c:crosses val="autoZero"/>
        <c:crossBetween val="midCat"/>
      </c:valAx>
      <c:valAx>
        <c:axId val="2131922688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δρ</a:t>
                </a:r>
                <a:r>
                  <a:rPr lang="es-ES" baseline="30000"/>
                  <a:t>G</a:t>
                </a:r>
                <a:r>
                  <a:rPr lang="es-ES"/>
                  <a:t> /g·</a:t>
                </a:r>
                <a:r>
                  <a:rPr lang="es-E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cm</a:t>
                </a:r>
                <a:r>
                  <a:rPr lang="es-ES" sz="8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-3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0873637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Densidad: </a:t>
            </a:r>
            <a:r>
              <a:rPr lang="el-GR"/>
              <a:t>Δρ</a:t>
            </a:r>
            <a:r>
              <a:rPr lang="es-ES" baseline="30000"/>
              <a:t>G</a:t>
            </a:r>
            <a:r>
              <a:rPr lang="es-ES"/>
              <a:t>  vs 1/h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9399942726601339E-2"/>
          <c:y val="0.11390284757118928"/>
          <c:w val="0.91153251557255099"/>
          <c:h val="0.78711355333095923"/>
        </c:manualLayout>
      </c:layout>
      <c:scatterChart>
        <c:scatterStyle val="lineMarker"/>
        <c:varyColors val="1"/>
        <c:ser>
          <c:idx val="0"/>
          <c:order val="0"/>
          <c:tx>
            <c:v>Madera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Linear (Madera)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"/>
            <c:backward val="2"/>
            <c:dispRSqr val="0"/>
            <c:dispEq val="0"/>
          </c:trendline>
          <c:xVal>
            <c:numRef>
              <c:f>Hoja7!$G$4:$G$9</c:f>
              <c:numCache>
                <c:formatCode>0.000</c:formatCode>
                <c:ptCount val="6"/>
                <c:pt idx="0">
                  <c:v>0.74626865671641784</c:v>
                </c:pt>
                <c:pt idx="1">
                  <c:v>0.61349693251533743</c:v>
                </c:pt>
                <c:pt idx="2">
                  <c:v>0.40160642570281119</c:v>
                </c:pt>
                <c:pt idx="3">
                  <c:v>0.33333333333333331</c:v>
                </c:pt>
                <c:pt idx="4" formatCode="0.0000">
                  <c:v>0.25125628140703515</c:v>
                </c:pt>
                <c:pt idx="5" formatCode="0.0000">
                  <c:v>0.19342359767891684</c:v>
                </c:pt>
              </c:numCache>
            </c:numRef>
          </c:xVal>
          <c:yVal>
            <c:numRef>
              <c:f>Hoja7!$F$4:$F$9</c:f>
              <c:numCache>
                <c:formatCode>0</c:formatCode>
                <c:ptCount val="6"/>
                <c:pt idx="0">
                  <c:v>15.329601990049751</c:v>
                </c:pt>
                <c:pt idx="1">
                  <c:v>13.807941376959786</c:v>
                </c:pt>
                <c:pt idx="2">
                  <c:v>9.5852798950905669</c:v>
                </c:pt>
                <c:pt idx="3">
                  <c:v>8.6035353535353529</c:v>
                </c:pt>
                <c:pt idx="4">
                  <c:v>6.8375271533921937</c:v>
                </c:pt>
                <c:pt idx="5">
                  <c:v>5.8267078392105818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7F-4824-923B-513A62456450}"/>
            </c:ext>
          </c:extLst>
        </c:ser>
        <c:ser>
          <c:idx val="1"/>
          <c:order val="1"/>
          <c:tx>
            <c:v>Plástico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Linear (Plástico)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4"/>
            <c:backward val="2"/>
            <c:dispRSqr val="0"/>
            <c:dispEq val="0"/>
          </c:trendline>
          <c:xVal>
            <c:numRef>
              <c:f>Hoja7!$G$13:$G$18</c:f>
              <c:numCache>
                <c:formatCode>0.000</c:formatCode>
                <c:ptCount val="6"/>
                <c:pt idx="0" formatCode="0.00">
                  <c:v>1.1363636363636365</c:v>
                </c:pt>
                <c:pt idx="1">
                  <c:v>0.55555555555555558</c:v>
                </c:pt>
                <c:pt idx="2">
                  <c:v>0.3968253968253968</c:v>
                </c:pt>
                <c:pt idx="3">
                  <c:v>0.32258064516129031</c:v>
                </c:pt>
                <c:pt idx="4" formatCode="0.0000">
                  <c:v>0.27322404371584696</c:v>
                </c:pt>
                <c:pt idx="5" formatCode="0.0000">
                  <c:v>0.23419203747072601</c:v>
                </c:pt>
              </c:numCache>
            </c:numRef>
          </c:xVal>
          <c:yVal>
            <c:numRef>
              <c:f>Hoja7!$F$13:$F$18</c:f>
              <c:numCache>
                <c:formatCode>0</c:formatCode>
                <c:ptCount val="6"/>
                <c:pt idx="0">
                  <c:v>15.677179962894249</c:v>
                </c:pt>
                <c:pt idx="1">
                  <c:v>8.47872482326264</c:v>
                </c:pt>
                <c:pt idx="2">
                  <c:v>6.7854678103125314</c:v>
                </c:pt>
                <c:pt idx="3">
                  <c:v>5.9348255431204748</c:v>
                </c:pt>
                <c:pt idx="4">
                  <c:v>5.2552168408346951</c:v>
                </c:pt>
                <c:pt idx="5">
                  <c:v>4.839110928103902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7F-4824-923B-513A62456450}"/>
            </c:ext>
          </c:extLst>
        </c:ser>
        <c:ser>
          <c:idx val="2"/>
          <c:order val="2"/>
          <c:tx>
            <c:v>Aluminio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Linear (Aluminio)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4"/>
            <c:backward val="2"/>
            <c:dispRSqr val="0"/>
            <c:dispEq val="0"/>
          </c:trendline>
          <c:xVal>
            <c:numRef>
              <c:f>Hoja7!$G$22:$G$27</c:f>
              <c:numCache>
                <c:formatCode>0.000</c:formatCode>
                <c:ptCount val="6"/>
                <c:pt idx="0">
                  <c:v>0.69444444444444442</c:v>
                </c:pt>
                <c:pt idx="1">
                  <c:v>0.47619047619047616</c:v>
                </c:pt>
                <c:pt idx="2">
                  <c:v>0.33670033670033667</c:v>
                </c:pt>
                <c:pt idx="3" formatCode="0.0000">
                  <c:v>0.2770083102493075</c:v>
                </c:pt>
                <c:pt idx="4" formatCode="0.0000">
                  <c:v>0.23584905660377356</c:v>
                </c:pt>
                <c:pt idx="5" formatCode="0.0000">
                  <c:v>0.20449897750511248</c:v>
                </c:pt>
              </c:numCache>
            </c:numRef>
          </c:xVal>
          <c:yVal>
            <c:numRef>
              <c:f>Hoja7!$F$22:$F$27</c:f>
              <c:numCache>
                <c:formatCode>0</c:formatCode>
                <c:ptCount val="6"/>
                <c:pt idx="0">
                  <c:v>6.1111111111111116</c:v>
                </c:pt>
                <c:pt idx="1">
                  <c:v>4.885105204872648</c:v>
                </c:pt>
                <c:pt idx="2">
                  <c:v>4.0593779323287515</c:v>
                </c:pt>
                <c:pt idx="3">
                  <c:v>3.7116929949339927</c:v>
                </c:pt>
                <c:pt idx="4">
                  <c:v>3.4819730876115256</c:v>
                </c:pt>
                <c:pt idx="5">
                  <c:v>3.287832310838446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7F-4824-923B-513A62456450}"/>
            </c:ext>
          </c:extLst>
        </c:ser>
        <c:ser>
          <c:idx val="3"/>
          <c:order val="3"/>
          <c:tx>
            <c:v>Titanio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name>Linear (Titanio)</c:nam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4"/>
            <c:backward val="2"/>
            <c:dispRSqr val="0"/>
            <c:dispEq val="0"/>
          </c:trendline>
          <c:xVal>
            <c:numRef>
              <c:f>Hoja7!$G$31:$G$35</c:f>
              <c:numCache>
                <c:formatCode>0.000</c:formatCode>
                <c:ptCount val="5"/>
                <c:pt idx="0">
                  <c:v>0.9009009009009008</c:v>
                </c:pt>
                <c:pt idx="1">
                  <c:v>0.56497175141242939</c:v>
                </c:pt>
                <c:pt idx="2">
                  <c:v>0.36764705882352938</c:v>
                </c:pt>
                <c:pt idx="3" formatCode="0.0000">
                  <c:v>0.28653295128939826</c:v>
                </c:pt>
                <c:pt idx="4" formatCode="0.0000">
                  <c:v>0.23255813953488372</c:v>
                </c:pt>
              </c:numCache>
            </c:numRef>
          </c:xVal>
          <c:yVal>
            <c:numRef>
              <c:f>Hoja7!$F$31:$F$35</c:f>
              <c:numCache>
                <c:formatCode>0</c:formatCode>
                <c:ptCount val="5"/>
                <c:pt idx="0">
                  <c:v>5.4852054852054852</c:v>
                </c:pt>
                <c:pt idx="1">
                  <c:v>4.2245180339095318</c:v>
                </c:pt>
                <c:pt idx="2">
                  <c:v>3.4295157456922167</c:v>
                </c:pt>
                <c:pt idx="3">
                  <c:v>3.1331812524831539</c:v>
                </c:pt>
                <c:pt idx="4">
                  <c:v>2.9284358354125795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7F-4824-923B-513A62456450}"/>
            </c:ext>
          </c:extLst>
        </c:ser>
        <c:ser>
          <c:idx val="4"/>
          <c:order val="4"/>
          <c:tx>
            <c:v>Acero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name>Linear (Acero)</c:nam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4"/>
            <c:backward val="2"/>
            <c:dispRSqr val="0"/>
            <c:dispEq val="0"/>
          </c:trendline>
          <c:xVal>
            <c:numRef>
              <c:f>Hoja7!$G$40:$G$45</c:f>
              <c:numCache>
                <c:formatCode>0.000</c:formatCode>
                <c:ptCount val="6"/>
                <c:pt idx="0">
                  <c:v>0.78740157480314954</c:v>
                </c:pt>
                <c:pt idx="1">
                  <c:v>0.61349693251533743</c:v>
                </c:pt>
                <c:pt idx="2">
                  <c:v>0.39370078740157477</c:v>
                </c:pt>
                <c:pt idx="3" formatCode="0.0000">
                  <c:v>0.3058103975535168</c:v>
                </c:pt>
                <c:pt idx="4" formatCode="0.0000">
                  <c:v>0.23640661938534277</c:v>
                </c:pt>
                <c:pt idx="5" formatCode="0.0000">
                  <c:v>0.20491803278688525</c:v>
                </c:pt>
              </c:numCache>
            </c:numRef>
          </c:xVal>
          <c:yVal>
            <c:numRef>
              <c:f>Hoja7!$F$40:$F$45</c:f>
              <c:numCache>
                <c:formatCode>0</c:formatCode>
                <c:ptCount val="6"/>
                <c:pt idx="0">
                  <c:v>4.1233930686893814</c:v>
                </c:pt>
                <c:pt idx="1">
                  <c:v>3.6336989527173573</c:v>
                </c:pt>
                <c:pt idx="2">
                  <c:v>3.0468142000086584</c:v>
                </c:pt>
                <c:pt idx="3">
                  <c:v>2.8210619227060327</c:v>
                </c:pt>
                <c:pt idx="4">
                  <c:v>2.6180860086983198</c:v>
                </c:pt>
                <c:pt idx="5">
                  <c:v>2.5606905227875627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7F-4824-923B-513A62456450}"/>
            </c:ext>
          </c:extLst>
        </c:ser>
        <c:ser>
          <c:idx val="5"/>
          <c:order val="5"/>
          <c:tx>
            <c:v>Latón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name>Linear (Latón)</c:nam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forward val="4"/>
            <c:backward val="2"/>
            <c:dispRSqr val="0"/>
            <c:dispEq val="0"/>
          </c:trendline>
          <c:xVal>
            <c:numRef>
              <c:f>Hoja7!$G$49:$G$54</c:f>
              <c:numCache>
                <c:formatCode>0.000</c:formatCode>
                <c:ptCount val="6"/>
                <c:pt idx="0">
                  <c:v>0.83333333333333337</c:v>
                </c:pt>
                <c:pt idx="1">
                  <c:v>0.60240963855421692</c:v>
                </c:pt>
                <c:pt idx="2">
                  <c:v>0.50251256281407031</c:v>
                </c:pt>
                <c:pt idx="3">
                  <c:v>0.35971223021582738</c:v>
                </c:pt>
                <c:pt idx="4" formatCode="0.0000">
                  <c:v>0.29411764705882354</c:v>
                </c:pt>
                <c:pt idx="5" formatCode="0.0000">
                  <c:v>0.2247191011235955</c:v>
                </c:pt>
              </c:numCache>
            </c:numRef>
          </c:xVal>
          <c:yVal>
            <c:numRef>
              <c:f>Hoja7!$F$49:$F$54</c:f>
              <c:numCache>
                <c:formatCode>0</c:formatCode>
                <c:ptCount val="6"/>
                <c:pt idx="0">
                  <c:v>4.0646258503401365</c:v>
                </c:pt>
                <c:pt idx="1">
                  <c:v>3.5127911824761338</c:v>
                </c:pt>
                <c:pt idx="2">
                  <c:v>3.267966570504103</c:v>
                </c:pt>
                <c:pt idx="3">
                  <c:v>2.918663271772346</c:v>
                </c:pt>
                <c:pt idx="4">
                  <c:v>2.7178464606181456</c:v>
                </c:pt>
                <c:pt idx="5">
                  <c:v>2.548343696592851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27F-4824-923B-513A62456450}"/>
            </c:ext>
          </c:extLst>
        </c:ser>
        <c:ser>
          <c:idx val="6"/>
          <c:order val="6"/>
          <c:tx>
            <c:v>Plomo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name>Linear (Plomo)</c:nam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forward val="4"/>
            <c:backward val="2"/>
            <c:dispRSqr val="0"/>
            <c:dispEq val="0"/>
          </c:trendline>
          <c:xVal>
            <c:numRef>
              <c:f>Hoja7!$G$58:$G$63</c:f>
              <c:numCache>
                <c:formatCode>0.000</c:formatCode>
                <c:ptCount val="6"/>
                <c:pt idx="0">
                  <c:v>0.970873786407767</c:v>
                </c:pt>
                <c:pt idx="1">
                  <c:v>0.7246376811594204</c:v>
                </c:pt>
                <c:pt idx="2">
                  <c:v>0.5988023952095809</c:v>
                </c:pt>
                <c:pt idx="3">
                  <c:v>0.42553191489361702</c:v>
                </c:pt>
                <c:pt idx="4">
                  <c:v>0.33557046979865773</c:v>
                </c:pt>
                <c:pt idx="5">
                  <c:v>0.24390243902439027</c:v>
                </c:pt>
              </c:numCache>
            </c:numRef>
          </c:xVal>
          <c:yVal>
            <c:numRef>
              <c:f>Hoja7!$F$58:$F$63</c:f>
              <c:numCache>
                <c:formatCode>0</c:formatCode>
                <c:ptCount val="6"/>
                <c:pt idx="0">
                  <c:v>4.1072374227714041</c:v>
                </c:pt>
                <c:pt idx="1">
                  <c:v>3.4663852539749547</c:v>
                </c:pt>
                <c:pt idx="2">
                  <c:v>3.2456670816782278</c:v>
                </c:pt>
                <c:pt idx="3">
                  <c:v>2.9951844845461872</c:v>
                </c:pt>
                <c:pt idx="4">
                  <c:v>2.6319279716922055</c:v>
                </c:pt>
                <c:pt idx="5">
                  <c:v>2.6519110970330488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27F-4824-923B-513A62456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176304"/>
        <c:axId val="1469689294"/>
      </c:scatterChart>
      <c:valAx>
        <c:axId val="398176304"/>
        <c:scaling>
          <c:orientation val="minMax"/>
          <c:max val="1.3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CM /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9689294"/>
        <c:crosses val="autoZero"/>
        <c:crossBetween val="midCat"/>
      </c:valAx>
      <c:valAx>
        <c:axId val="1469689294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Δρ</a:t>
                </a:r>
                <a:r>
                  <a:rPr lang="es-ES" baseline="30000"/>
                  <a:t>G</a:t>
                </a:r>
                <a:r>
                  <a:rPr lang="es-ES"/>
                  <a:t> \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8176304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26975803385789954"/>
          <c:y val="6.8734689757778841E-2"/>
          <c:w val="0.46048393228420098"/>
          <c:h val="3.47961512320843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26</xdr:row>
      <xdr:rowOff>171450</xdr:rowOff>
    </xdr:from>
    <xdr:ext cx="581025" cy="2381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29</xdr:row>
      <xdr:rowOff>0</xdr:rowOff>
    </xdr:from>
    <xdr:ext cx="619125" cy="2857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1664869596" name="Chart 1" descr="Chart 0">
          <a:extLst>
            <a:ext uri="{FF2B5EF4-FFF2-40B4-BE49-F238E27FC236}">
              <a16:creationId xmlns:a16="http://schemas.microsoft.com/office/drawing/2014/main" id="{00000000-0008-0000-0200-0000DCE43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1831781101" name="Chart 2" descr="Chart 0">
          <a:extLst>
            <a:ext uri="{FF2B5EF4-FFF2-40B4-BE49-F238E27FC236}">
              <a16:creationId xmlns:a16="http://schemas.microsoft.com/office/drawing/2014/main" id="{00000000-0008-0000-0500-0000EDC22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859276576" name="Chart 3" descr="Chart 0">
          <a:extLst>
            <a:ext uri="{FF2B5EF4-FFF2-40B4-BE49-F238E27FC236}">
              <a16:creationId xmlns:a16="http://schemas.microsoft.com/office/drawing/2014/main" id="{00000000-0008-0000-0700-000020853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388566831" name="Chart 4" descr="Chart 0">
          <a:extLst>
            <a:ext uri="{FF2B5EF4-FFF2-40B4-BE49-F238E27FC236}">
              <a16:creationId xmlns:a16="http://schemas.microsoft.com/office/drawing/2014/main" id="{00000000-0008-0000-0900-00002F0F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0.07465</cdr:x>
      <cdr:y>0.25879</cdr:y>
    </cdr:from>
    <cdr:to>
      <cdr:x>0.88761</cdr:x>
      <cdr:y>0.26005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0A0AA1ED-25A7-1C0C-7942-92F0FB449185}"/>
            </a:ext>
          </a:extLst>
        </cdr:cNvPr>
        <cdr:cNvCxnSpPr/>
      </cdr:nvCxnSpPr>
      <cdr:spPr>
        <a:xfrm xmlns:a="http://schemas.openxmlformats.org/drawingml/2006/main" flipV="1">
          <a:off x="693420" y="1569720"/>
          <a:ext cx="7551420" cy="762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0.07547</cdr:x>
      <cdr:y>0.36181</cdr:y>
    </cdr:from>
    <cdr:to>
      <cdr:x>0.89007</cdr:x>
      <cdr:y>0.36307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446C9E7D-EEF9-09FA-81F0-0AD75E91FBE3}"/>
            </a:ext>
          </a:extLst>
        </cdr:cNvPr>
        <cdr:cNvCxnSpPr/>
      </cdr:nvCxnSpPr>
      <cdr:spPr>
        <a:xfrm xmlns:a="http://schemas.openxmlformats.org/drawingml/2006/main" flipV="1">
          <a:off x="701040" y="2194560"/>
          <a:ext cx="7566660" cy="762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0.07547</cdr:x>
      <cdr:y>0.4309</cdr:y>
    </cdr:from>
    <cdr:to>
      <cdr:x>0.89089</cdr:x>
      <cdr:y>0.43216</cdr:y>
    </cdr:to>
    <cdr:cxnSp macro="">
      <cdr:nvCxnSpPr>
        <cdr:cNvPr id="7" name="Conector recto 6">
          <a:extLst xmlns:a="http://schemas.openxmlformats.org/drawingml/2006/main">
            <a:ext uri="{FF2B5EF4-FFF2-40B4-BE49-F238E27FC236}">
              <a16:creationId xmlns:a16="http://schemas.microsoft.com/office/drawing/2014/main" id="{67BB455D-7551-7B46-0329-25DCC9738629}"/>
            </a:ext>
          </a:extLst>
        </cdr:cNvPr>
        <cdr:cNvCxnSpPr/>
      </cdr:nvCxnSpPr>
      <cdr:spPr>
        <a:xfrm xmlns:a="http://schemas.openxmlformats.org/drawingml/2006/main" flipV="1">
          <a:off x="701040" y="2613660"/>
          <a:ext cx="7574280" cy="762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0.07547</cdr:x>
      <cdr:y>0.63317</cdr:y>
    </cdr:from>
    <cdr:to>
      <cdr:x>0.88597</cdr:x>
      <cdr:y>0.63693</cdr:y>
    </cdr:to>
    <cdr:cxnSp macro="">
      <cdr:nvCxnSpPr>
        <cdr:cNvPr id="9" name="Conector recto 8">
          <a:extLst xmlns:a="http://schemas.openxmlformats.org/drawingml/2006/main">
            <a:ext uri="{FF2B5EF4-FFF2-40B4-BE49-F238E27FC236}">
              <a16:creationId xmlns:a16="http://schemas.microsoft.com/office/drawing/2014/main" id="{98ABCCB9-0593-5F7E-595C-DED2B23D4B12}"/>
            </a:ext>
          </a:extLst>
        </cdr:cNvPr>
        <cdr:cNvCxnSpPr/>
      </cdr:nvCxnSpPr>
      <cdr:spPr>
        <a:xfrm xmlns:a="http://schemas.openxmlformats.org/drawingml/2006/main">
          <a:off x="701040" y="3840480"/>
          <a:ext cx="7528560" cy="2286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0.07465</cdr:x>
      <cdr:y>0.73744</cdr:y>
    </cdr:from>
    <cdr:to>
      <cdr:x>0.88515</cdr:x>
      <cdr:y>0.73744</cdr:y>
    </cdr:to>
    <cdr:cxnSp macro="">
      <cdr:nvCxnSpPr>
        <cdr:cNvPr id="11" name="Conector recto 10">
          <a:extLst xmlns:a="http://schemas.openxmlformats.org/drawingml/2006/main">
            <a:ext uri="{FF2B5EF4-FFF2-40B4-BE49-F238E27FC236}">
              <a16:creationId xmlns:a16="http://schemas.microsoft.com/office/drawing/2014/main" id="{1F645D83-29A2-A0CF-C606-7BBEFA103600}"/>
            </a:ext>
          </a:extLst>
        </cdr:cNvPr>
        <cdr:cNvCxnSpPr/>
      </cdr:nvCxnSpPr>
      <cdr:spPr>
        <a:xfrm xmlns:a="http://schemas.openxmlformats.org/drawingml/2006/main">
          <a:off x="693420" y="4472940"/>
          <a:ext cx="7528560" cy="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0.07383</cdr:x>
      <cdr:y>0.83166</cdr:y>
    </cdr:from>
    <cdr:to>
      <cdr:x>0.88679</cdr:x>
      <cdr:y>0.83291</cdr:y>
    </cdr:to>
    <cdr:cxnSp macro="">
      <cdr:nvCxnSpPr>
        <cdr:cNvPr id="13" name="Conector recto 12">
          <a:extLst xmlns:a="http://schemas.openxmlformats.org/drawingml/2006/main">
            <a:ext uri="{FF2B5EF4-FFF2-40B4-BE49-F238E27FC236}">
              <a16:creationId xmlns:a16="http://schemas.microsoft.com/office/drawing/2014/main" id="{FCC4AE6A-F60A-1F57-FD2A-F4AC2BC47484}"/>
            </a:ext>
          </a:extLst>
        </cdr:cNvPr>
        <cdr:cNvCxnSpPr/>
      </cdr:nvCxnSpPr>
      <cdr:spPr>
        <a:xfrm xmlns:a="http://schemas.openxmlformats.org/drawingml/2006/main">
          <a:off x="685800" y="5044440"/>
          <a:ext cx="7551420" cy="762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0.07547</cdr:x>
      <cdr:y>0.86055</cdr:y>
    </cdr:from>
    <cdr:to>
      <cdr:x>0.88597</cdr:x>
      <cdr:y>0.86307</cdr:y>
    </cdr:to>
    <cdr:cxnSp macro="">
      <cdr:nvCxnSpPr>
        <cdr:cNvPr id="16" name="Conector recto 15">
          <a:extLst xmlns:a="http://schemas.openxmlformats.org/drawingml/2006/main">
            <a:ext uri="{FF2B5EF4-FFF2-40B4-BE49-F238E27FC236}">
              <a16:creationId xmlns:a16="http://schemas.microsoft.com/office/drawing/2014/main" id="{90A234C5-D5B8-DAED-485B-CD451A82543E}"/>
            </a:ext>
          </a:extLst>
        </cdr:cNvPr>
        <cdr:cNvCxnSpPr/>
      </cdr:nvCxnSpPr>
      <cdr:spPr>
        <a:xfrm xmlns:a="http://schemas.openxmlformats.org/drawingml/2006/main" flipV="1">
          <a:off x="701040" y="5219700"/>
          <a:ext cx="7528560" cy="1524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1668134462" name="Chart 5" descr="Chart 0">
          <a:extLst>
            <a:ext uri="{FF2B5EF4-FFF2-40B4-BE49-F238E27FC236}">
              <a16:creationId xmlns:a16="http://schemas.microsoft.com/office/drawing/2014/main" id="{00000000-0008-0000-0A00-00003EB66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0.1125</cdr:x>
      <cdr:y>0.11665</cdr:y>
    </cdr:from>
    <cdr:to>
      <cdr:x>0.98207</cdr:x>
      <cdr:y>0.71608</cdr:y>
    </cdr:to>
    <cdr:sp macro="" textlink="">
      <cdr:nvSpPr>
        <cdr:cNvPr id="2" name="Forma libre: forma 1">
          <a:extLst xmlns:a="http://schemas.openxmlformats.org/drawingml/2006/main">
            <a:ext uri="{FF2B5EF4-FFF2-40B4-BE49-F238E27FC236}">
              <a16:creationId xmlns:a16="http://schemas.microsoft.com/office/drawing/2014/main" id="{696545AE-FD87-D201-15FD-6A7814532DA6}"/>
            </a:ext>
          </a:extLst>
        </cdr:cNvPr>
        <cdr:cNvSpPr/>
      </cdr:nvSpPr>
      <cdr:spPr>
        <a:xfrm xmlns:a="http://schemas.openxmlformats.org/drawingml/2006/main">
          <a:off x="1045029" y="707570"/>
          <a:ext cx="8077199" cy="3635829"/>
        </a:xfrm>
        <a:custGeom xmlns:a="http://schemas.openxmlformats.org/drawingml/2006/main">
          <a:avLst/>
          <a:gdLst>
            <a:gd name="connsiteX0" fmla="*/ 0 w 7353300"/>
            <a:gd name="connsiteY0" fmla="*/ 0 h 3985260"/>
            <a:gd name="connsiteX1" fmla="*/ 335280 w 7353300"/>
            <a:gd name="connsiteY1" fmla="*/ 2011680 h 3985260"/>
            <a:gd name="connsiteX2" fmla="*/ 1287780 w 7353300"/>
            <a:gd name="connsiteY2" fmla="*/ 2880360 h 3985260"/>
            <a:gd name="connsiteX3" fmla="*/ 2263140 w 7353300"/>
            <a:gd name="connsiteY3" fmla="*/ 3398520 h 3985260"/>
            <a:gd name="connsiteX4" fmla="*/ 3535680 w 7353300"/>
            <a:gd name="connsiteY4" fmla="*/ 3665220 h 3985260"/>
            <a:gd name="connsiteX5" fmla="*/ 4754880 w 7353300"/>
            <a:gd name="connsiteY5" fmla="*/ 3825240 h 3985260"/>
            <a:gd name="connsiteX6" fmla="*/ 7353300 w 7353300"/>
            <a:gd name="connsiteY6" fmla="*/ 3985260 h 3985260"/>
            <a:gd name="connsiteX7" fmla="*/ 7353300 w 7353300"/>
            <a:gd name="connsiteY7" fmla="*/ 3985260 h 398526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7353300" h="3985260">
              <a:moveTo>
                <a:pt x="0" y="0"/>
              </a:moveTo>
              <a:cubicBezTo>
                <a:pt x="60325" y="765810"/>
                <a:pt x="120650" y="1531620"/>
                <a:pt x="335280" y="2011680"/>
              </a:cubicBezTo>
              <a:cubicBezTo>
                <a:pt x="549910" y="2491740"/>
                <a:pt x="966470" y="2649220"/>
                <a:pt x="1287780" y="2880360"/>
              </a:cubicBezTo>
              <a:cubicBezTo>
                <a:pt x="1609090" y="3111500"/>
                <a:pt x="1888490" y="3267710"/>
                <a:pt x="2263140" y="3398520"/>
              </a:cubicBezTo>
              <a:cubicBezTo>
                <a:pt x="2637790" y="3529330"/>
                <a:pt x="3120390" y="3594100"/>
                <a:pt x="3535680" y="3665220"/>
              </a:cubicBezTo>
              <a:cubicBezTo>
                <a:pt x="3950970" y="3736340"/>
                <a:pt x="4118610" y="3771900"/>
                <a:pt x="4754880" y="3825240"/>
              </a:cubicBezTo>
              <a:cubicBezTo>
                <a:pt x="5391150" y="3878580"/>
                <a:pt x="7353300" y="3985260"/>
                <a:pt x="7353300" y="3985260"/>
              </a:cubicBezTo>
              <a:lnTo>
                <a:pt x="7353300" y="3985260"/>
              </a:lnTo>
            </a:path>
          </a:pathLst>
        </a:cu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ES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1297766504" name="Chart 6" descr="Chart 0">
          <a:extLst>
            <a:ext uri="{FF2B5EF4-FFF2-40B4-BE49-F238E27FC236}">
              <a16:creationId xmlns:a16="http://schemas.microsoft.com/office/drawing/2014/main" id="{00000000-0008-0000-0B00-000068585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1054932559" name="Chart 7" descr="Chart 0">
          <a:extLst>
            <a:ext uri="{FF2B5EF4-FFF2-40B4-BE49-F238E27FC236}">
              <a16:creationId xmlns:a16="http://schemas.microsoft.com/office/drawing/2014/main" id="{00000000-0008-0000-0C00-00004FFEE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table">
  <a:themeElements>
    <a:clrScheme name="Citable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Citabl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Ci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opLeftCell="A2" workbookViewId="0">
      <selection activeCell="F21" sqref="F21"/>
    </sheetView>
  </sheetViews>
  <sheetFormatPr baseColWidth="10" defaultColWidth="12.6640625" defaultRowHeight="15" customHeight="1"/>
  <cols>
    <col min="1" max="1" width="17.109375" customWidth="1"/>
    <col min="2" max="2" width="10.33203125" customWidth="1"/>
    <col min="3" max="3" width="10" customWidth="1"/>
    <col min="4" max="4" width="11.21875" customWidth="1"/>
    <col min="5" max="5" width="9.44140625" customWidth="1"/>
    <col min="6" max="6" width="9.77734375" customWidth="1"/>
    <col min="7" max="7" width="7.33203125" customWidth="1"/>
    <col min="8" max="8" width="2.21875" customWidth="1"/>
    <col min="9" max="9" width="13" customWidth="1"/>
    <col min="10" max="10" width="16.88671875" customWidth="1"/>
    <col min="11" max="11" width="12.77734375" customWidth="1"/>
    <col min="12" max="12" width="13" customWidth="1"/>
    <col min="13" max="13" width="3.44140625" customWidth="1"/>
    <col min="14" max="16" width="13" customWidth="1"/>
    <col min="17" max="17" width="13.33203125" customWidth="1"/>
    <col min="18" max="26" width="10" customWidth="1"/>
  </cols>
  <sheetData>
    <row r="1" spans="1:17" ht="33" customHeight="1">
      <c r="B1" s="329" t="s">
        <v>0</v>
      </c>
      <c r="C1" s="330"/>
      <c r="D1" s="330"/>
      <c r="E1" s="330"/>
      <c r="F1" s="331"/>
      <c r="I1" s="1"/>
      <c r="J1" s="2"/>
      <c r="K1" s="2"/>
      <c r="L1" s="3"/>
      <c r="M1" s="3"/>
      <c r="N1" s="1"/>
      <c r="O1" s="1"/>
      <c r="P1" s="1"/>
      <c r="Q1" s="1"/>
    </row>
    <row r="2" spans="1:17" ht="33" customHeight="1">
      <c r="A2" s="4" t="s">
        <v>1</v>
      </c>
      <c r="B2" s="5"/>
      <c r="C2" s="5"/>
      <c r="D2" s="5"/>
      <c r="E2" s="5"/>
      <c r="F2" s="4"/>
      <c r="G2" s="6"/>
      <c r="H2" s="7"/>
      <c r="I2" s="6"/>
      <c r="J2" s="2"/>
      <c r="K2" s="2"/>
      <c r="L2" s="3"/>
      <c r="M2" s="3"/>
      <c r="N2" s="1"/>
      <c r="O2" s="1"/>
      <c r="P2" s="1"/>
      <c r="Q2" s="1"/>
    </row>
    <row r="3" spans="1:17" ht="12.75" customHeight="1">
      <c r="H3" s="8"/>
    </row>
    <row r="4" spans="1:17" ht="14.25" customHeight="1">
      <c r="A4" s="9" t="s">
        <v>2</v>
      </c>
      <c r="B4" s="10" t="s">
        <v>3</v>
      </c>
      <c r="C4" s="10" t="s">
        <v>4</v>
      </c>
      <c r="D4" s="11" t="s">
        <v>5</v>
      </c>
      <c r="E4" s="12" t="s">
        <v>6</v>
      </c>
      <c r="F4" s="13" t="s">
        <v>7</v>
      </c>
      <c r="G4" s="13" t="s">
        <v>8</v>
      </c>
      <c r="H4" s="14"/>
      <c r="I4" s="15" t="s">
        <v>9</v>
      </c>
      <c r="J4" s="15"/>
      <c r="K4" s="16"/>
      <c r="M4" s="17"/>
      <c r="N4" s="17"/>
      <c r="O4" s="17"/>
      <c r="P4" s="17"/>
    </row>
    <row r="5" spans="1:17" ht="13.5" customHeight="1">
      <c r="A5" s="18" t="s">
        <v>10</v>
      </c>
      <c r="B5" s="19">
        <v>6.25</v>
      </c>
      <c r="C5" s="19">
        <v>4.7</v>
      </c>
      <c r="D5" s="19">
        <v>5.0999999999999996</v>
      </c>
      <c r="E5" s="20">
        <f t="shared" ref="E5:E11" si="0">B5/(B5-C5)</f>
        <v>4.0322580645161299</v>
      </c>
      <c r="F5" s="20">
        <f t="shared" ref="F5:F11" si="1">E5*(0.01/B5+0.02/(B5-D5)+0.05)</f>
        <v>0.27819074333800842</v>
      </c>
      <c r="G5" s="21">
        <f t="shared" ref="G5:G18" si="2">100*F5/E5</f>
        <v>6.8991304347826077</v>
      </c>
      <c r="H5" s="8"/>
      <c r="I5" s="15" t="s">
        <v>11</v>
      </c>
      <c r="J5" s="15"/>
      <c r="K5" s="16"/>
    </row>
    <row r="6" spans="1:17" ht="13.5" customHeight="1">
      <c r="A6" s="18" t="s">
        <v>12</v>
      </c>
      <c r="B6" s="19">
        <v>25.9</v>
      </c>
      <c r="C6" s="19">
        <v>21.85</v>
      </c>
      <c r="D6" s="19">
        <v>22.5</v>
      </c>
      <c r="E6" s="20">
        <f t="shared" si="0"/>
        <v>6.3950617283950661</v>
      </c>
      <c r="F6" s="20">
        <f t="shared" si="1"/>
        <v>0.35984023238925228</v>
      </c>
      <c r="G6" s="21">
        <f t="shared" si="2"/>
        <v>5.6268453327276857</v>
      </c>
      <c r="H6" s="8"/>
      <c r="I6" s="15" t="s">
        <v>13</v>
      </c>
      <c r="J6" s="15"/>
      <c r="K6" s="16"/>
    </row>
    <row r="7" spans="1:17" ht="13.5" customHeight="1">
      <c r="A7" s="18" t="s">
        <v>14</v>
      </c>
      <c r="B7" s="19">
        <v>20.85</v>
      </c>
      <c r="C7" s="19">
        <v>18.7</v>
      </c>
      <c r="D7" s="19">
        <v>19.149999999999999</v>
      </c>
      <c r="E7" s="20">
        <f t="shared" si="0"/>
        <v>9.6976744186046417</v>
      </c>
      <c r="F7" s="20">
        <f t="shared" si="1"/>
        <v>0.60362517099863122</v>
      </c>
      <c r="G7" s="21">
        <f t="shared" si="2"/>
        <v>6.2244322189307351</v>
      </c>
      <c r="H7" s="8"/>
      <c r="I7" s="15" t="s">
        <v>15</v>
      </c>
      <c r="J7" s="15"/>
      <c r="K7" s="22"/>
    </row>
    <row r="8" spans="1:17" ht="13.5" customHeight="1">
      <c r="A8" s="18" t="s">
        <v>16</v>
      </c>
      <c r="B8" s="19">
        <v>6.2</v>
      </c>
      <c r="C8" s="19">
        <v>0.9</v>
      </c>
      <c r="D8" s="19">
        <v>1.7</v>
      </c>
      <c r="E8" s="23">
        <f t="shared" si="0"/>
        <v>1.1698113207547169</v>
      </c>
      <c r="F8" s="23">
        <f t="shared" si="1"/>
        <v>6.557651991614255E-2</v>
      </c>
      <c r="G8" s="21">
        <f t="shared" si="2"/>
        <v>5.6057347670250897</v>
      </c>
      <c r="H8" s="8"/>
      <c r="I8" s="15" t="s">
        <v>17</v>
      </c>
      <c r="J8" s="15"/>
      <c r="K8" s="22"/>
    </row>
    <row r="9" spans="1:17" ht="13.5" customHeight="1">
      <c r="A9" s="18" t="s">
        <v>18</v>
      </c>
      <c r="B9" s="19">
        <v>13.6</v>
      </c>
      <c r="C9" s="19">
        <v>11.73</v>
      </c>
      <c r="D9" s="19">
        <v>12.1</v>
      </c>
      <c r="E9" s="20">
        <f t="shared" si="0"/>
        <v>7.2727272727272751</v>
      </c>
      <c r="F9" s="20">
        <f t="shared" si="1"/>
        <v>0.46595365418894846</v>
      </c>
      <c r="G9" s="21">
        <f t="shared" si="2"/>
        <v>6.4068627450980387</v>
      </c>
      <c r="H9" s="8"/>
      <c r="I9" s="15" t="s">
        <v>19</v>
      </c>
      <c r="J9" s="16"/>
      <c r="K9" s="16"/>
    </row>
    <row r="10" spans="1:17" ht="12.75" customHeight="1">
      <c r="A10" s="18" t="s">
        <v>20</v>
      </c>
      <c r="B10" s="19">
        <v>9.6</v>
      </c>
      <c r="C10" s="19">
        <v>8.4499999999999993</v>
      </c>
      <c r="D10" s="19">
        <v>8.75</v>
      </c>
      <c r="E10" s="20">
        <f t="shared" si="0"/>
        <v>8.3478260869565197</v>
      </c>
      <c r="F10" s="20">
        <f t="shared" si="1"/>
        <v>0.62250639386189255</v>
      </c>
      <c r="G10" s="21">
        <f t="shared" si="2"/>
        <v>7.4571078431372566</v>
      </c>
      <c r="H10" s="8"/>
    </row>
    <row r="11" spans="1:17" ht="12.75" customHeight="1">
      <c r="A11" s="18" t="s">
        <v>21</v>
      </c>
      <c r="B11" s="19">
        <v>5.25</v>
      </c>
      <c r="C11" s="19">
        <v>3.25</v>
      </c>
      <c r="D11" s="19">
        <v>3.55</v>
      </c>
      <c r="E11" s="20">
        <f t="shared" si="0"/>
        <v>2.625</v>
      </c>
      <c r="F11" s="20">
        <f t="shared" si="1"/>
        <v>0.16713235294117648</v>
      </c>
      <c r="G11" s="21">
        <f t="shared" si="2"/>
        <v>6.3669467787114851</v>
      </c>
      <c r="H11" s="8"/>
    </row>
    <row r="12" spans="1:17" ht="13.5" customHeight="1">
      <c r="A12" s="18" t="s">
        <v>22</v>
      </c>
      <c r="B12" s="24" t="s">
        <v>23</v>
      </c>
      <c r="C12" s="24" t="s">
        <v>23</v>
      </c>
      <c r="D12" s="24" t="s">
        <v>23</v>
      </c>
      <c r="E12" s="25">
        <f t="shared" ref="E12:E18" si="3">(B5-D5)/(B5-C5)</f>
        <v>0.74193548387096808</v>
      </c>
      <c r="F12" s="25">
        <f t="shared" ref="F12:F18" si="4">0.01*E12*(2/(B5-D5)+2/(B5-C5)+5)</f>
        <v>5.957336108220606E-2</v>
      </c>
      <c r="G12" s="26">
        <f t="shared" si="2"/>
        <v>8.0294530154277695</v>
      </c>
      <c r="H12" s="8"/>
    </row>
    <row r="13" spans="1:17" ht="15" customHeight="1">
      <c r="A13" s="18" t="s">
        <v>24</v>
      </c>
      <c r="B13" s="24" t="s">
        <v>23</v>
      </c>
      <c r="C13" s="24" t="s">
        <v>23</v>
      </c>
      <c r="D13" s="27" t="s">
        <v>23</v>
      </c>
      <c r="E13" s="28">
        <f t="shared" si="3"/>
        <v>0.83950617283950646</v>
      </c>
      <c r="F13" s="29">
        <f t="shared" si="4"/>
        <v>5.1059289742417337E-2</v>
      </c>
      <c r="G13" s="30">
        <f t="shared" si="2"/>
        <v>6.0820624546114752</v>
      </c>
      <c r="H13" s="8"/>
      <c r="I13" s="15" t="s">
        <v>25</v>
      </c>
      <c r="J13" s="16"/>
      <c r="K13" s="16"/>
      <c r="L13" s="16"/>
      <c r="M13" s="1"/>
    </row>
    <row r="14" spans="1:17" ht="14.25" customHeight="1">
      <c r="A14" s="18" t="s">
        <v>26</v>
      </c>
      <c r="B14" s="24" t="s">
        <v>23</v>
      </c>
      <c r="C14" s="24" t="s">
        <v>23</v>
      </c>
      <c r="D14" s="24" t="s">
        <v>23</v>
      </c>
      <c r="E14" s="31">
        <f t="shared" si="3"/>
        <v>0.79069767441860517</v>
      </c>
      <c r="F14" s="31">
        <f t="shared" si="4"/>
        <v>5.6192536506219602E-2</v>
      </c>
      <c r="G14" s="32">
        <f t="shared" si="2"/>
        <v>7.1067031463748274</v>
      </c>
      <c r="H14" s="8"/>
      <c r="M14" s="33"/>
      <c r="N14" s="33"/>
    </row>
    <row r="15" spans="1:17" ht="12.75" customHeight="1">
      <c r="A15" s="18" t="s">
        <v>27</v>
      </c>
      <c r="B15" s="24" t="s">
        <v>23</v>
      </c>
      <c r="C15" s="24" t="s">
        <v>23</v>
      </c>
      <c r="D15" s="24" t="s">
        <v>23</v>
      </c>
      <c r="E15" s="34">
        <f t="shared" si="3"/>
        <v>0.84905660377358494</v>
      </c>
      <c r="F15" s="34">
        <f t="shared" si="4"/>
        <v>4.9430402278390885E-2</v>
      </c>
      <c r="G15" s="35">
        <f t="shared" si="2"/>
        <v>5.8218029350104823</v>
      </c>
      <c r="H15" s="8"/>
    </row>
    <row r="16" spans="1:17" ht="12.75" customHeight="1">
      <c r="A16" s="18" t="s">
        <v>28</v>
      </c>
      <c r="B16" s="24" t="s">
        <v>23</v>
      </c>
      <c r="C16" s="24" t="s">
        <v>23</v>
      </c>
      <c r="D16" s="24" t="s">
        <v>23</v>
      </c>
      <c r="E16" s="34">
        <f t="shared" si="3"/>
        <v>0.8021390374331554</v>
      </c>
      <c r="F16" s="34">
        <f t="shared" si="4"/>
        <v>5.9381166175755694E-2</v>
      </c>
      <c r="G16" s="35">
        <f t="shared" si="2"/>
        <v>7.4028520499108739</v>
      </c>
      <c r="H16" s="8"/>
    </row>
    <row r="17" spans="1:15" ht="12.75" customHeight="1">
      <c r="A17" s="18" t="s">
        <v>29</v>
      </c>
      <c r="B17" s="24" t="s">
        <v>23</v>
      </c>
      <c r="C17" s="24" t="s">
        <v>23</v>
      </c>
      <c r="D17" s="24" t="s">
        <v>23</v>
      </c>
      <c r="E17" s="34">
        <f t="shared" si="3"/>
        <v>0.7391304347826082</v>
      </c>
      <c r="F17" s="34">
        <f t="shared" si="4"/>
        <v>6.7202268431001841E-2</v>
      </c>
      <c r="G17" s="35">
        <f t="shared" si="2"/>
        <v>9.0920716112531963</v>
      </c>
      <c r="H17" s="8"/>
    </row>
    <row r="18" spans="1:15" ht="12.75" customHeight="1">
      <c r="A18" s="18" t="s">
        <v>30</v>
      </c>
      <c r="B18" s="24" t="s">
        <v>23</v>
      </c>
      <c r="C18" s="24" t="s">
        <v>23</v>
      </c>
      <c r="D18" s="24" t="s">
        <v>23</v>
      </c>
      <c r="E18" s="34">
        <f t="shared" si="3"/>
        <v>0.85000000000000009</v>
      </c>
      <c r="F18" s="34">
        <f t="shared" si="4"/>
        <v>6.0999999999999999E-2</v>
      </c>
      <c r="G18" s="35">
        <f t="shared" si="2"/>
        <v>7.1764705882352926</v>
      </c>
      <c r="H18" s="8"/>
    </row>
    <row r="19" spans="1:15" ht="21" customHeight="1">
      <c r="A19" s="36" t="s">
        <v>31</v>
      </c>
      <c r="B19" s="37"/>
      <c r="C19" s="38"/>
      <c r="D19" s="38"/>
      <c r="E19" s="38"/>
      <c r="H19" s="8"/>
      <c r="I19" s="39" t="s">
        <v>32</v>
      </c>
      <c r="J19" s="16"/>
      <c r="K19" s="16"/>
      <c r="L19" s="16"/>
      <c r="M19" s="1"/>
    </row>
    <row r="20" spans="1:15" ht="16.5" customHeight="1">
      <c r="A20" s="40" t="s">
        <v>33</v>
      </c>
      <c r="B20" s="41"/>
      <c r="H20" s="8"/>
    </row>
    <row r="21" spans="1:15" ht="17.25" customHeight="1">
      <c r="B21" s="42" t="s">
        <v>34</v>
      </c>
      <c r="C21" s="43"/>
      <c r="D21" s="42"/>
      <c r="E21" s="42"/>
      <c r="F21" s="43"/>
      <c r="G21" s="44"/>
      <c r="H21" s="44"/>
      <c r="I21" s="44"/>
      <c r="J21" s="44"/>
    </row>
    <row r="22" spans="1:15" ht="17.25" customHeight="1">
      <c r="B22" s="45" t="s">
        <v>35</v>
      </c>
      <c r="C22" s="46"/>
      <c r="D22" s="16"/>
      <c r="E22" s="47" t="s">
        <v>36</v>
      </c>
      <c r="F22" s="48"/>
      <c r="G22" s="48"/>
      <c r="H22" s="48"/>
      <c r="I22" s="48"/>
      <c r="J22" s="48"/>
      <c r="K22" s="49"/>
    </row>
    <row r="23" spans="1:15" ht="15" customHeight="1">
      <c r="B23" s="50" t="s">
        <v>37</v>
      </c>
      <c r="C23" s="51"/>
      <c r="D23" s="50"/>
      <c r="E23" s="50"/>
      <c r="F23" s="51"/>
      <c r="G23" s="51"/>
      <c r="H23" s="52"/>
      <c r="I23" s="52"/>
      <c r="J23" s="52"/>
      <c r="K23" s="52"/>
    </row>
    <row r="24" spans="1:15" ht="12.75" customHeight="1">
      <c r="B24" s="53" t="s">
        <v>38</v>
      </c>
      <c r="C24" s="52"/>
      <c r="D24" s="53"/>
      <c r="E24" s="53"/>
      <c r="F24" s="52"/>
      <c r="G24" s="52"/>
      <c r="H24" s="52"/>
      <c r="I24" s="52"/>
      <c r="J24" s="52"/>
      <c r="K24" s="54"/>
    </row>
    <row r="25" spans="1:15" ht="12.75" customHeight="1">
      <c r="B25" s="53" t="s">
        <v>39</v>
      </c>
      <c r="C25" s="52"/>
      <c r="D25" s="53"/>
      <c r="E25" s="53"/>
      <c r="F25" s="52"/>
      <c r="G25" s="52"/>
      <c r="H25" s="52"/>
      <c r="I25" s="52"/>
      <c r="J25" s="52"/>
      <c r="K25" s="54"/>
    </row>
    <row r="26" spans="1:15" ht="12.75" customHeight="1">
      <c r="B26" s="53" t="s">
        <v>40</v>
      </c>
      <c r="C26" s="52"/>
      <c r="D26" s="53"/>
      <c r="E26" s="53"/>
      <c r="F26" s="52"/>
      <c r="G26" s="52"/>
      <c r="H26" s="52"/>
      <c r="I26" s="52"/>
      <c r="J26" s="52"/>
      <c r="K26" s="54"/>
    </row>
    <row r="27" spans="1:15" ht="15" customHeight="1">
      <c r="B27" s="50" t="s">
        <v>41</v>
      </c>
      <c r="C27" s="50"/>
      <c r="D27" s="50"/>
      <c r="E27" s="51"/>
      <c r="F27" s="51"/>
      <c r="G27" s="51"/>
      <c r="H27" s="52"/>
      <c r="I27" s="52"/>
      <c r="J27" s="52"/>
      <c r="K27" s="52"/>
    </row>
    <row r="28" spans="1:15" ht="15" customHeight="1">
      <c r="A28" s="55"/>
      <c r="B28" s="50" t="s">
        <v>42</v>
      </c>
      <c r="C28" s="50"/>
      <c r="D28" s="50"/>
      <c r="E28" s="50"/>
      <c r="F28" s="50"/>
      <c r="G28" s="50"/>
      <c r="H28" s="52"/>
      <c r="I28" s="52"/>
      <c r="J28" s="52"/>
      <c r="K28" s="52"/>
    </row>
    <row r="29" spans="1:15" ht="15" customHeight="1">
      <c r="B29" s="50" t="s">
        <v>43</v>
      </c>
      <c r="C29" s="50"/>
      <c r="D29" s="50"/>
      <c r="E29" s="50"/>
      <c r="F29" s="50"/>
      <c r="G29" s="50"/>
      <c r="H29" s="52"/>
      <c r="I29" s="52"/>
      <c r="J29" s="52"/>
      <c r="K29" s="52"/>
    </row>
    <row r="30" spans="1:15" ht="15" customHeight="1">
      <c r="A30" s="17"/>
      <c r="B30" s="50" t="s">
        <v>44</v>
      </c>
      <c r="C30" s="50"/>
      <c r="D30" s="56"/>
      <c r="E30" s="50"/>
      <c r="F30" s="50"/>
      <c r="G30" s="50"/>
      <c r="H30" s="52"/>
      <c r="I30" s="52"/>
      <c r="J30" s="52"/>
      <c r="K30" s="52"/>
    </row>
    <row r="31" spans="1:15" ht="12.75" customHeight="1"/>
    <row r="32" spans="1:15" ht="17.25" customHeight="1">
      <c r="A32" s="57" t="s">
        <v>45</v>
      </c>
      <c r="B32" s="57"/>
      <c r="C32" s="58"/>
      <c r="D32" s="57"/>
      <c r="E32" s="59"/>
      <c r="F32" s="57"/>
      <c r="G32" s="57"/>
      <c r="H32" s="59"/>
      <c r="I32" s="59"/>
      <c r="J32" s="59"/>
      <c r="K32" s="59"/>
      <c r="L32" s="59"/>
      <c r="M32" s="60"/>
      <c r="N32" s="60"/>
      <c r="O32" s="1"/>
    </row>
    <row r="33" spans="3:5" ht="12.75" customHeight="1"/>
    <row r="34" spans="3:5" ht="12.75" customHeight="1"/>
    <row r="35" spans="3:5" ht="15" customHeight="1">
      <c r="C35" s="61"/>
      <c r="D35" s="61"/>
      <c r="E35" s="61"/>
    </row>
    <row r="36" spans="3:5" ht="12.75" customHeight="1"/>
    <row r="37" spans="3:5" ht="12.75" customHeight="1"/>
    <row r="38" spans="3:5" ht="12.75" customHeight="1">
      <c r="C38" s="62"/>
      <c r="D38" s="1"/>
      <c r="E38" s="62"/>
    </row>
    <row r="39" spans="3:5" ht="12.75" customHeight="1"/>
    <row r="40" spans="3:5" ht="12.75" customHeight="1"/>
    <row r="41" spans="3:5" ht="12.75" customHeight="1"/>
    <row r="42" spans="3:5" ht="12.75" customHeight="1"/>
    <row r="43" spans="3:5" ht="12.75" customHeight="1"/>
    <row r="44" spans="3:5" ht="12.75" customHeight="1"/>
    <row r="45" spans="3:5" ht="12.75" customHeight="1"/>
    <row r="46" spans="3:5" ht="12.75" customHeight="1"/>
    <row r="47" spans="3:5" ht="12.75" customHeight="1"/>
    <row r="48" spans="3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:F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opLeftCell="A9" workbookViewId="0"/>
  </sheetViews>
  <sheetFormatPr baseColWidth="10" defaultColWidth="12.6640625" defaultRowHeight="15" customHeight="1"/>
  <cols>
    <col min="1" max="1" width="17.109375" customWidth="1"/>
    <col min="2" max="2" width="12" customWidth="1"/>
    <col min="3" max="3" width="10.44140625" customWidth="1"/>
    <col min="4" max="4" width="18.77734375" customWidth="1"/>
    <col min="5" max="5" width="17.44140625" customWidth="1"/>
    <col min="6" max="7" width="11" customWidth="1"/>
    <col min="8" max="8" width="10.77734375" customWidth="1"/>
    <col min="9" max="9" width="4.109375" customWidth="1"/>
    <col min="10" max="11" width="10" customWidth="1"/>
    <col min="12" max="12" width="3.33203125" customWidth="1"/>
    <col min="13" max="26" width="10" customWidth="1"/>
  </cols>
  <sheetData>
    <row r="1" spans="1:14" ht="24" customHeight="1">
      <c r="C1" s="63" t="s">
        <v>46</v>
      </c>
      <c r="D1" s="64"/>
      <c r="E1" s="64"/>
    </row>
    <row r="2" spans="1:14" ht="12.75" customHeight="1"/>
    <row r="3" spans="1:14" ht="21" customHeight="1">
      <c r="B3" s="65" t="s">
        <v>47</v>
      </c>
      <c r="C3" s="65"/>
      <c r="D3" s="66"/>
      <c r="E3" s="66"/>
      <c r="F3" s="67"/>
    </row>
    <row r="4" spans="1:14" ht="15.75" customHeight="1">
      <c r="A4" s="68" t="s">
        <v>2</v>
      </c>
      <c r="B4" s="69" t="s">
        <v>48</v>
      </c>
      <c r="C4" s="69" t="s">
        <v>49</v>
      </c>
      <c r="D4" s="69" t="s">
        <v>50</v>
      </c>
      <c r="E4" s="69" t="s">
        <v>51</v>
      </c>
      <c r="F4" s="70" t="s">
        <v>52</v>
      </c>
      <c r="G4" s="71" t="s">
        <v>53</v>
      </c>
      <c r="H4" s="71" t="s">
        <v>54</v>
      </c>
    </row>
    <row r="5" spans="1:14" ht="12.75" customHeight="1">
      <c r="A5" s="18" t="s">
        <v>10</v>
      </c>
      <c r="B5" s="19">
        <v>6.25</v>
      </c>
      <c r="C5" s="19">
        <v>4</v>
      </c>
      <c r="D5" s="19">
        <v>3.5</v>
      </c>
      <c r="E5" s="19">
        <v>0.1</v>
      </c>
      <c r="F5" s="72">
        <f t="shared" ref="F5:F8" si="0">B5/(C5*D5*E5)</f>
        <v>4.4642857142857135</v>
      </c>
      <c r="G5" s="20">
        <f t="shared" ref="G5:G8" si="1">0.005*F5*(2/B5+1/C5+1/D5+1/E5)</f>
        <v>0.24231505102040812</v>
      </c>
      <c r="H5" s="21">
        <f t="shared" ref="H5:H12" si="2">100*G5/F5</f>
        <v>5.4278571428571434</v>
      </c>
      <c r="J5" s="53" t="s">
        <v>55</v>
      </c>
      <c r="K5" s="53"/>
      <c r="L5" s="52"/>
    </row>
    <row r="6" spans="1:14" ht="12.75" customHeight="1">
      <c r="A6" s="18" t="s">
        <v>12</v>
      </c>
      <c r="B6" s="19">
        <v>25.9</v>
      </c>
      <c r="C6" s="19">
        <v>2.9</v>
      </c>
      <c r="D6" s="19">
        <v>2.2000000000000002</v>
      </c>
      <c r="E6" s="19">
        <v>1.1000000000000001</v>
      </c>
      <c r="F6" s="73">
        <f t="shared" si="0"/>
        <v>3.6905101168424048</v>
      </c>
      <c r="G6" s="23">
        <f t="shared" si="1"/>
        <v>3.2950424836805665E-2</v>
      </c>
      <c r="H6" s="21">
        <f t="shared" si="2"/>
        <v>0.8928420135316687</v>
      </c>
      <c r="J6" s="53" t="s">
        <v>56</v>
      </c>
      <c r="K6" s="53"/>
      <c r="L6" s="52"/>
      <c r="M6" s="1"/>
      <c r="N6" s="1"/>
    </row>
    <row r="7" spans="1:14" ht="12.75" customHeight="1">
      <c r="A7" s="18" t="s">
        <v>14</v>
      </c>
      <c r="B7" s="19">
        <v>20.85</v>
      </c>
      <c r="C7" s="19">
        <v>4</v>
      </c>
      <c r="D7" s="19">
        <v>1.9</v>
      </c>
      <c r="E7" s="19">
        <v>0.2</v>
      </c>
      <c r="F7" s="72">
        <f t="shared" si="0"/>
        <v>13.717105263157896</v>
      </c>
      <c r="G7" s="20">
        <f t="shared" si="1"/>
        <v>0.40275060595567874</v>
      </c>
      <c r="H7" s="21">
        <f t="shared" si="2"/>
        <v>2.9361195254322858</v>
      </c>
      <c r="J7" s="53" t="s">
        <v>57</v>
      </c>
      <c r="K7" s="53"/>
      <c r="L7" s="52"/>
    </row>
    <row r="8" spans="1:14" ht="12.75" customHeight="1">
      <c r="A8" s="18" t="s">
        <v>16</v>
      </c>
      <c r="B8" s="19">
        <v>6.2</v>
      </c>
      <c r="C8" s="19">
        <v>4.2</v>
      </c>
      <c r="D8" s="19">
        <v>2.5</v>
      </c>
      <c r="E8" s="19">
        <v>0.5</v>
      </c>
      <c r="F8" s="73">
        <f t="shared" si="0"/>
        <v>1.180952380952381</v>
      </c>
      <c r="G8" s="23">
        <f t="shared" si="1"/>
        <v>1.7482086167800455E-2</v>
      </c>
      <c r="H8" s="21">
        <f t="shared" si="2"/>
        <v>1.4803379416282643</v>
      </c>
      <c r="J8" s="53" t="s">
        <v>58</v>
      </c>
      <c r="K8" s="53"/>
      <c r="L8" s="52"/>
    </row>
    <row r="9" spans="1:14" ht="12.75" customHeight="1">
      <c r="A9" s="18" t="s">
        <v>18</v>
      </c>
      <c r="B9" s="19">
        <v>13.6</v>
      </c>
      <c r="C9" s="19">
        <v>0.25</v>
      </c>
      <c r="D9" s="19">
        <v>3.4</v>
      </c>
      <c r="E9" s="19">
        <v>1.9</v>
      </c>
      <c r="F9" s="72">
        <f t="shared" ref="F9:F10" si="3">4*B9/(PI()*C9*(D9^2-E9^2))</f>
        <v>8.7124819161752018</v>
      </c>
      <c r="G9" s="20">
        <f t="shared" ref="G9:G11" si="4">F9*(0.01/B9+0.005/C9+0.01/(D9+E9)+0.01/(D9-E9))</f>
        <v>0.25517773292593426</v>
      </c>
      <c r="H9" s="21">
        <f t="shared" si="2"/>
        <v>2.9288753237143914</v>
      </c>
      <c r="J9" s="53" t="s">
        <v>59</v>
      </c>
      <c r="K9" s="53"/>
      <c r="L9" s="52"/>
    </row>
    <row r="10" spans="1:14" ht="12.75" customHeight="1">
      <c r="A10" s="18" t="s">
        <v>20</v>
      </c>
      <c r="B10" s="19">
        <v>9.6</v>
      </c>
      <c r="C10" s="19">
        <v>0.9</v>
      </c>
      <c r="D10" s="19">
        <v>1.8</v>
      </c>
      <c r="E10" s="19">
        <v>1.2</v>
      </c>
      <c r="F10" s="72">
        <f t="shared" si="3"/>
        <v>7.5451232280602225</v>
      </c>
      <c r="G10" s="20">
        <f t="shared" si="4"/>
        <v>0.20067931919076837</v>
      </c>
      <c r="H10" s="21">
        <f t="shared" si="2"/>
        <v>2.6597222222222214</v>
      </c>
    </row>
    <row r="11" spans="1:14" ht="12.75" customHeight="1">
      <c r="A11" s="74" t="s">
        <v>60</v>
      </c>
      <c r="B11" s="19">
        <v>5.25</v>
      </c>
      <c r="C11" s="19">
        <v>2.35</v>
      </c>
      <c r="D11" s="19">
        <v>1.6</v>
      </c>
      <c r="E11" s="19">
        <v>1.34</v>
      </c>
      <c r="F11" s="72">
        <f>B11/(C11*(D11^2-E11^2))</f>
        <v>2.9226093055880282</v>
      </c>
      <c r="G11" s="20">
        <f t="shared" si="4"/>
        <v>0.13413409073236535</v>
      </c>
      <c r="H11" s="21">
        <f t="shared" si="2"/>
        <v>4.5895320484986142</v>
      </c>
    </row>
    <row r="12" spans="1:14" ht="12.75" customHeight="1">
      <c r="A12" s="74" t="s">
        <v>61</v>
      </c>
      <c r="B12" s="19">
        <v>30</v>
      </c>
      <c r="C12" s="75">
        <v>3.25</v>
      </c>
      <c r="D12" s="76" t="s">
        <v>23</v>
      </c>
      <c r="E12" s="75">
        <v>4.0999999999999996</v>
      </c>
      <c r="F12" s="77">
        <f>4*$B$12/(PI()*C12*E12^2)</f>
        <v>0.69916599720047368</v>
      </c>
      <c r="G12" s="78">
        <f>F12*(0.01/B12+0.005/C12+0.01/(E12))</f>
        <v>3.0139782480943502E-3</v>
      </c>
      <c r="H12" s="20">
        <f t="shared" si="2"/>
        <v>0.43108192620387747</v>
      </c>
    </row>
    <row r="13" spans="1:14" ht="12.75" customHeight="1">
      <c r="A13" s="79"/>
      <c r="B13" s="80"/>
      <c r="C13" s="81"/>
      <c r="D13" s="38"/>
      <c r="E13" s="81"/>
      <c r="F13" s="82"/>
      <c r="G13" s="82"/>
      <c r="H13" s="82"/>
    </row>
    <row r="14" spans="1:14" ht="13.5" customHeight="1">
      <c r="A14" s="62"/>
      <c r="B14" s="38"/>
      <c r="C14" s="38"/>
      <c r="D14" s="38"/>
      <c r="E14" s="83" t="s">
        <v>62</v>
      </c>
      <c r="F14" s="84"/>
      <c r="G14" s="84"/>
      <c r="H14" s="84"/>
      <c r="I14" s="84"/>
      <c r="J14" s="1"/>
      <c r="K14" s="1"/>
      <c r="L14" s="1"/>
    </row>
    <row r="15" spans="1:14" ht="21" customHeight="1">
      <c r="A15" s="62"/>
      <c r="B15" s="39" t="s">
        <v>63</v>
      </c>
      <c r="C15" s="39"/>
      <c r="D15" s="16"/>
      <c r="E15" s="16"/>
      <c r="F15" s="16"/>
      <c r="G15" s="16"/>
      <c r="H15" s="38"/>
    </row>
    <row r="16" spans="1:14" ht="12.75" customHeight="1">
      <c r="B16" s="38"/>
      <c r="C16" s="38"/>
      <c r="D16" s="38"/>
      <c r="E16" s="38"/>
      <c r="F16" s="38"/>
      <c r="G16" s="38"/>
    </row>
    <row r="17" spans="1:10" ht="12.75" customHeight="1">
      <c r="A17" s="62"/>
      <c r="B17" s="85" t="s">
        <v>64</v>
      </c>
      <c r="C17" s="16"/>
      <c r="F17" s="38"/>
      <c r="G17" s="38"/>
      <c r="H17" s="38"/>
    </row>
    <row r="18" spans="1:10" ht="21" customHeight="1">
      <c r="A18" s="62"/>
      <c r="B18" s="86" t="s">
        <v>65</v>
      </c>
      <c r="C18" s="49"/>
      <c r="D18" s="87"/>
      <c r="E18" s="39" t="s">
        <v>66</v>
      </c>
      <c r="F18" s="16"/>
      <c r="G18" s="16"/>
      <c r="H18" s="16"/>
      <c r="J18" s="1"/>
    </row>
    <row r="19" spans="1:10" ht="12.75" customHeight="1">
      <c r="A19" s="62"/>
      <c r="B19" s="86" t="s">
        <v>67</v>
      </c>
      <c r="C19" s="49"/>
      <c r="D19" s="87"/>
      <c r="E19" s="1"/>
      <c r="F19" s="38"/>
      <c r="G19" s="38"/>
      <c r="H19" s="38"/>
    </row>
    <row r="20" spans="1:10" ht="5.25" customHeight="1">
      <c r="A20" s="1"/>
      <c r="G20" s="1"/>
    </row>
    <row r="21" spans="1:10" ht="15" customHeight="1">
      <c r="A21" s="88"/>
      <c r="B21" s="89" t="s">
        <v>68</v>
      </c>
      <c r="C21" s="89"/>
      <c r="D21" s="89"/>
      <c r="E21" s="89"/>
      <c r="F21" s="89"/>
      <c r="G21" s="90"/>
      <c r="H21" s="91"/>
      <c r="I21" s="92"/>
      <c r="J21" s="92"/>
    </row>
    <row r="22" spans="1:10" ht="18" customHeight="1">
      <c r="A22" s="93"/>
      <c r="B22" s="89" t="s">
        <v>69</v>
      </c>
      <c r="C22" s="89"/>
      <c r="D22" s="89"/>
      <c r="E22" s="89"/>
      <c r="F22" s="89"/>
      <c r="G22" s="90"/>
      <c r="H22" s="91"/>
      <c r="I22" s="92"/>
      <c r="J22" s="92"/>
    </row>
    <row r="23" spans="1:10" ht="18" customHeight="1">
      <c r="A23" s="93"/>
      <c r="B23" s="89" t="s">
        <v>70</v>
      </c>
      <c r="C23" s="89"/>
      <c r="D23" s="89"/>
      <c r="E23" s="89"/>
      <c r="F23" s="89"/>
      <c r="G23" s="90"/>
      <c r="H23" s="91"/>
      <c r="I23" s="92"/>
      <c r="J23" s="92"/>
    </row>
    <row r="24" spans="1:10" ht="15.75" customHeight="1">
      <c r="A24" s="93"/>
      <c r="B24" s="94" t="s">
        <v>71</v>
      </c>
      <c r="C24" s="94"/>
      <c r="D24" s="94"/>
      <c r="E24" s="94"/>
      <c r="F24" s="94"/>
      <c r="G24" s="95"/>
      <c r="H24" s="96"/>
      <c r="I24" s="92"/>
      <c r="J24" s="92"/>
    </row>
    <row r="25" spans="1:10" ht="9.75" customHeight="1">
      <c r="A25" s="97"/>
    </row>
    <row r="26" spans="1:10" ht="15" customHeight="1">
      <c r="B26" s="50" t="s">
        <v>72</v>
      </c>
      <c r="C26" s="50"/>
      <c r="D26" s="50"/>
      <c r="E26" s="50"/>
      <c r="F26" s="50"/>
      <c r="G26" s="51"/>
    </row>
    <row r="27" spans="1:10" ht="15" customHeight="1">
      <c r="B27" s="50" t="s">
        <v>73</v>
      </c>
      <c r="C27" s="50"/>
      <c r="D27" s="50"/>
      <c r="E27" s="50"/>
      <c r="F27" s="50"/>
      <c r="G27" s="51"/>
    </row>
    <row r="28" spans="1:10" ht="21" customHeight="1">
      <c r="B28" s="98" t="s">
        <v>74</v>
      </c>
      <c r="C28" s="98"/>
      <c r="D28" s="98"/>
      <c r="E28" s="98"/>
      <c r="F28" s="98"/>
      <c r="G28" s="99"/>
      <c r="H28" s="100"/>
    </row>
    <row r="29" spans="1:10" ht="21" customHeight="1">
      <c r="B29" s="101" t="s">
        <v>75</v>
      </c>
      <c r="C29" s="98"/>
      <c r="D29" s="98"/>
      <c r="E29" s="98"/>
      <c r="F29" s="98"/>
      <c r="G29" s="99"/>
      <c r="H29" s="100"/>
    </row>
    <row r="30" spans="1:10" ht="22.5" customHeight="1">
      <c r="B30" s="50" t="s">
        <v>76</v>
      </c>
      <c r="C30" s="50"/>
      <c r="D30" s="50"/>
      <c r="E30" s="50"/>
      <c r="F30" s="50"/>
      <c r="G30" s="51"/>
    </row>
    <row r="31" spans="1:10" ht="9" customHeight="1"/>
    <row r="32" spans="1:10" ht="12.75" customHeight="1"/>
    <row r="33" spans="9:11" ht="12.75" customHeight="1"/>
    <row r="34" spans="9:11" ht="12.75" customHeight="1"/>
    <row r="35" spans="9:11" ht="12.75" customHeight="1"/>
    <row r="36" spans="9:11" ht="12.75" customHeight="1">
      <c r="I36" s="1"/>
      <c r="J36" s="1"/>
      <c r="K36" s="1"/>
    </row>
    <row r="37" spans="9:11" ht="12.75" customHeight="1"/>
    <row r="38" spans="9:11" ht="12.75" customHeight="1"/>
    <row r="39" spans="9:11" ht="12.75" customHeight="1"/>
    <row r="40" spans="9:11" ht="12.75" customHeight="1"/>
    <row r="41" spans="9:11" ht="12.75" customHeight="1"/>
    <row r="42" spans="9:11" ht="12.75" customHeight="1"/>
    <row r="43" spans="9:11" ht="12.75" customHeight="1"/>
    <row r="44" spans="9:11" ht="12.75" customHeight="1"/>
    <row r="45" spans="9:11" ht="12.75" customHeight="1"/>
    <row r="46" spans="9:11" ht="12.75" customHeight="1"/>
    <row r="47" spans="9:11" ht="12.75" customHeight="1"/>
    <row r="48" spans="9:11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>
      <selection activeCell="H4" sqref="H4"/>
    </sheetView>
  </sheetViews>
  <sheetFormatPr baseColWidth="10" defaultColWidth="12.6640625" defaultRowHeight="15" customHeight="1"/>
  <cols>
    <col min="1" max="1" width="16.44140625" customWidth="1"/>
    <col min="2" max="2" width="11.77734375" customWidth="1"/>
    <col min="3" max="3" width="12.109375" customWidth="1"/>
    <col min="4" max="4" width="9.88671875" customWidth="1"/>
    <col min="5" max="5" width="11.21875" customWidth="1"/>
    <col min="6" max="6" width="12.44140625" customWidth="1"/>
    <col min="7" max="7" width="8.44140625" customWidth="1"/>
    <col min="8" max="8" width="7.109375" customWidth="1"/>
    <col min="9" max="9" width="7.21875" customWidth="1"/>
    <col min="10" max="10" width="3" customWidth="1"/>
    <col min="11" max="11" width="13.33203125" customWidth="1"/>
    <col min="12" max="12" width="10" customWidth="1"/>
    <col min="13" max="13" width="6.88671875" customWidth="1"/>
    <col min="14" max="26" width="10" customWidth="1"/>
  </cols>
  <sheetData>
    <row r="1" spans="1:18" ht="32.25" customHeight="1">
      <c r="B1" s="332" t="s">
        <v>77</v>
      </c>
      <c r="C1" s="333"/>
      <c r="D1" s="33"/>
      <c r="E1" s="33"/>
      <c r="F1" s="65" t="s">
        <v>78</v>
      </c>
      <c r="G1" s="16"/>
      <c r="H1" s="67"/>
      <c r="I1" s="67"/>
      <c r="J1" s="67"/>
      <c r="K1" s="65"/>
      <c r="L1" s="65"/>
      <c r="M1" s="3"/>
      <c r="N1" s="3"/>
      <c r="O1" s="1"/>
      <c r="P1" s="1"/>
      <c r="Q1" s="1"/>
      <c r="R1" s="1"/>
    </row>
    <row r="2" spans="1:18" ht="15" customHeight="1">
      <c r="A2" s="102" t="s">
        <v>2</v>
      </c>
      <c r="B2" s="70" t="s">
        <v>79</v>
      </c>
      <c r="C2" s="71" t="s">
        <v>80</v>
      </c>
      <c r="D2" s="71" t="s">
        <v>81</v>
      </c>
      <c r="E2" s="70" t="s">
        <v>82</v>
      </c>
      <c r="F2" s="71" t="s">
        <v>83</v>
      </c>
      <c r="G2" s="71" t="s">
        <v>84</v>
      </c>
      <c r="H2" s="103" t="s">
        <v>85</v>
      </c>
      <c r="I2" s="103" t="s">
        <v>86</v>
      </c>
    </row>
    <row r="3" spans="1:18" ht="12.75" customHeight="1">
      <c r="A3" s="18" t="s">
        <v>10</v>
      </c>
      <c r="B3" s="104">
        <v>4.0322580645161299</v>
      </c>
      <c r="C3" s="20">
        <v>0.27819074333800842</v>
      </c>
      <c r="D3" s="105">
        <v>6.8991304347826077</v>
      </c>
      <c r="E3" s="104">
        <v>4.4642857142857135</v>
      </c>
      <c r="F3" s="20">
        <v>0.24231505102040812</v>
      </c>
      <c r="G3" s="105">
        <v>5.4278571428571434</v>
      </c>
      <c r="H3" s="106">
        <v>0.85</v>
      </c>
      <c r="I3" s="76">
        <v>1.1499999999999999</v>
      </c>
    </row>
    <row r="4" spans="1:18" ht="12.75" customHeight="1">
      <c r="A4" s="18" t="s">
        <v>12</v>
      </c>
      <c r="B4" s="104">
        <v>6.3950617283950661</v>
      </c>
      <c r="C4" s="20">
        <v>0.35984023238925228</v>
      </c>
      <c r="D4" s="105">
        <v>5.6268453327276857</v>
      </c>
      <c r="E4" s="107">
        <v>3.6905101168424048</v>
      </c>
      <c r="F4" s="23">
        <v>3.2950424836805665E-2</v>
      </c>
      <c r="G4" s="105">
        <v>0.8928420135316687</v>
      </c>
      <c r="H4" s="106">
        <v>1.85</v>
      </c>
      <c r="I4" s="76">
        <v>2.15</v>
      </c>
    </row>
    <row r="5" spans="1:18" ht="12.75" customHeight="1">
      <c r="A5" s="18" t="s">
        <v>14</v>
      </c>
      <c r="B5" s="104">
        <v>9.6976744186046417</v>
      </c>
      <c r="C5" s="20">
        <v>0.60362517099863122</v>
      </c>
      <c r="D5" s="105">
        <v>6.2244322189307351</v>
      </c>
      <c r="E5" s="104">
        <v>13.717105263157896</v>
      </c>
      <c r="F5" s="20">
        <v>0.40275060595567874</v>
      </c>
      <c r="G5" s="105">
        <v>2.9361195254322858</v>
      </c>
      <c r="H5" s="106">
        <v>2.85</v>
      </c>
      <c r="I5" s="76">
        <v>3.15</v>
      </c>
    </row>
    <row r="6" spans="1:18" ht="12.75" customHeight="1">
      <c r="A6" s="18" t="s">
        <v>16</v>
      </c>
      <c r="B6" s="107">
        <v>1.1698113207547169</v>
      </c>
      <c r="C6" s="23">
        <v>6.557651991614255E-2</v>
      </c>
      <c r="D6" s="105">
        <v>5.6057347670250897</v>
      </c>
      <c r="E6" s="107">
        <v>1.180952380952381</v>
      </c>
      <c r="F6" s="23">
        <v>1.7482086167800455E-2</v>
      </c>
      <c r="G6" s="105">
        <v>1.4803379416282643</v>
      </c>
      <c r="H6" s="106">
        <v>3.85</v>
      </c>
      <c r="I6" s="76">
        <v>4.1500000000000004</v>
      </c>
    </row>
    <row r="7" spans="1:18" ht="12.75" customHeight="1">
      <c r="A7" s="18" t="s">
        <v>18</v>
      </c>
      <c r="B7" s="104">
        <v>7.2727272727272751</v>
      </c>
      <c r="C7" s="20">
        <v>0.46595365418894846</v>
      </c>
      <c r="D7" s="105">
        <v>6.4068627450980387</v>
      </c>
      <c r="E7" s="104">
        <v>8.7124819161752018</v>
      </c>
      <c r="F7" s="20">
        <v>0.25517773292593426</v>
      </c>
      <c r="G7" s="105">
        <v>2.9288753237143914</v>
      </c>
      <c r="H7" s="106">
        <v>4.8499999999999996</v>
      </c>
      <c r="I7" s="76">
        <v>5.15</v>
      </c>
    </row>
    <row r="8" spans="1:18" ht="12.75" customHeight="1">
      <c r="A8" s="18" t="s">
        <v>20</v>
      </c>
      <c r="B8" s="104">
        <v>8.3478260869565197</v>
      </c>
      <c r="C8" s="20">
        <v>0.62250639386189255</v>
      </c>
      <c r="D8" s="105">
        <v>7.4571078431372566</v>
      </c>
      <c r="E8" s="104">
        <v>7.5451232280602225</v>
      </c>
      <c r="F8" s="20">
        <v>0.20067931919076837</v>
      </c>
      <c r="G8" s="105">
        <v>2.6597222222222214</v>
      </c>
      <c r="H8" s="76">
        <v>5.85</v>
      </c>
      <c r="I8" s="76">
        <v>6.15</v>
      </c>
    </row>
    <row r="9" spans="1:18" ht="12.75" customHeight="1">
      <c r="A9" s="108" t="s">
        <v>87</v>
      </c>
      <c r="B9" s="104">
        <v>2.625</v>
      </c>
      <c r="C9" s="20">
        <v>0.16713235294117648</v>
      </c>
      <c r="D9" s="105">
        <v>6.3669467787114851</v>
      </c>
      <c r="E9" s="104">
        <v>2.9226093055880282</v>
      </c>
      <c r="F9" s="20">
        <v>0.13413409073236535</v>
      </c>
      <c r="G9" s="105">
        <v>4.5895320484986142</v>
      </c>
      <c r="H9" s="106">
        <v>6.85</v>
      </c>
      <c r="I9" s="76">
        <v>7.15</v>
      </c>
    </row>
    <row r="10" spans="1:18" ht="12.75" customHeight="1">
      <c r="A10" s="108" t="s">
        <v>88</v>
      </c>
      <c r="B10" s="107">
        <v>0.83950617283950646</v>
      </c>
      <c r="C10" s="23">
        <v>5.1059289742417337E-2</v>
      </c>
      <c r="D10" s="105">
        <v>6.0820624546114752</v>
      </c>
      <c r="E10" s="109">
        <v>0.69916599720047368</v>
      </c>
      <c r="F10" s="78">
        <v>3.0139782480943502E-3</v>
      </c>
      <c r="G10" s="110">
        <v>0.43108192620387747</v>
      </c>
      <c r="H10" s="106">
        <v>7.85</v>
      </c>
      <c r="I10" s="76">
        <v>8.15</v>
      </c>
    </row>
    <row r="11" spans="1:18" ht="12.75" customHeight="1">
      <c r="A11" s="62"/>
      <c r="B11" s="38"/>
      <c r="C11" s="38"/>
      <c r="D11" s="38"/>
      <c r="E11" s="38"/>
      <c r="F11" s="38"/>
      <c r="G11" s="38"/>
      <c r="H11" s="111" t="s">
        <v>89</v>
      </c>
      <c r="I11" s="111" t="s">
        <v>89</v>
      </c>
      <c r="J11" s="55"/>
      <c r="K11" s="62"/>
      <c r="L11" s="62"/>
      <c r="M11" s="1"/>
    </row>
    <row r="12" spans="1:18" ht="12.75" customHeight="1">
      <c r="A12" s="62"/>
      <c r="B12" s="38"/>
      <c r="C12" s="38"/>
      <c r="D12" s="38"/>
      <c r="E12" s="38"/>
      <c r="F12" s="22" t="s">
        <v>90</v>
      </c>
      <c r="G12" s="22"/>
      <c r="H12" s="22"/>
      <c r="I12" s="16"/>
      <c r="J12" s="16"/>
      <c r="K12" s="62"/>
      <c r="L12" s="62"/>
      <c r="M12" s="1"/>
    </row>
    <row r="13" spans="1:18" ht="13.5" customHeight="1">
      <c r="A13" s="15" t="s">
        <v>91</v>
      </c>
      <c r="B13" s="16"/>
      <c r="C13" s="16"/>
      <c r="D13" s="16"/>
      <c r="E13" s="16"/>
      <c r="F13" s="38"/>
      <c r="G13" s="38"/>
      <c r="H13" s="38"/>
      <c r="I13" s="38"/>
    </row>
    <row r="14" spans="1:18" ht="15" customHeight="1">
      <c r="A14" s="112" t="s">
        <v>92</v>
      </c>
      <c r="B14" s="113"/>
      <c r="C14" s="113"/>
      <c r="D14" s="113"/>
      <c r="E14" s="113"/>
      <c r="F14" s="113"/>
      <c r="G14" s="113"/>
      <c r="H14" s="1"/>
      <c r="I14" s="1"/>
      <c r="J14" s="1"/>
      <c r="K14" s="1"/>
      <c r="L14" s="1"/>
    </row>
    <row r="15" spans="1:18" ht="17.25" customHeight="1">
      <c r="A15" s="57" t="s">
        <v>93</v>
      </c>
      <c r="B15" s="59"/>
      <c r="C15" s="59"/>
      <c r="D15" s="59"/>
      <c r="E15" s="59"/>
      <c r="F15" s="113"/>
      <c r="G15" s="113"/>
      <c r="H15" s="1"/>
      <c r="I15" s="1"/>
      <c r="J15" s="1"/>
      <c r="K15" s="1"/>
      <c r="L15" s="1"/>
    </row>
    <row r="16" spans="1:18" ht="13.5" customHeight="1">
      <c r="A16" s="114" t="s">
        <v>94</v>
      </c>
      <c r="B16" s="96"/>
      <c r="C16" s="96"/>
      <c r="D16" s="96"/>
      <c r="E16" s="96"/>
      <c r="F16" s="96"/>
      <c r="G16" s="96"/>
    </row>
    <row r="17" spans="1:11" ht="12.75" customHeight="1"/>
    <row r="18" spans="1:11" ht="15" customHeight="1">
      <c r="B18" s="115" t="s">
        <v>95</v>
      </c>
      <c r="C18" s="115"/>
      <c r="D18" s="115"/>
      <c r="E18" s="92"/>
      <c r="F18" s="92"/>
      <c r="G18" s="92"/>
      <c r="H18" s="92"/>
    </row>
    <row r="19" spans="1:11" ht="15" customHeight="1">
      <c r="B19" s="116" t="s">
        <v>96</v>
      </c>
      <c r="C19" s="89" t="s">
        <v>97</v>
      </c>
      <c r="D19" s="115"/>
      <c r="E19" s="117" t="s">
        <v>98</v>
      </c>
      <c r="F19" s="118"/>
      <c r="G19" s="118"/>
      <c r="H19" s="118"/>
    </row>
    <row r="20" spans="1:11" ht="13.5" customHeight="1">
      <c r="B20" s="119" t="s">
        <v>99</v>
      </c>
      <c r="C20" s="119"/>
      <c r="D20" s="120"/>
      <c r="E20" s="121"/>
      <c r="F20" s="121"/>
      <c r="G20" s="121"/>
      <c r="H20" s="121"/>
    </row>
    <row r="21" spans="1:11" ht="15" customHeight="1">
      <c r="B21" s="119" t="s">
        <v>100</v>
      </c>
      <c r="C21" s="122" t="s">
        <v>101</v>
      </c>
      <c r="D21" s="122"/>
      <c r="E21" s="123" t="s">
        <v>102</v>
      </c>
      <c r="F21" s="123"/>
      <c r="G21" s="15" t="s">
        <v>103</v>
      </c>
      <c r="H21" s="15"/>
    </row>
    <row r="22" spans="1:11" ht="14.25" customHeight="1">
      <c r="B22" s="114" t="s">
        <v>104</v>
      </c>
      <c r="C22" s="124"/>
      <c r="D22" s="124"/>
      <c r="E22" s="124"/>
      <c r="F22" s="124"/>
      <c r="G22" s="96"/>
      <c r="H22" s="96"/>
    </row>
    <row r="23" spans="1:11" ht="14.25" customHeight="1">
      <c r="B23" s="114" t="s">
        <v>105</v>
      </c>
      <c r="C23" s="96"/>
      <c r="D23" s="96"/>
      <c r="E23" s="96"/>
      <c r="F23" s="96"/>
      <c r="G23" s="96"/>
      <c r="H23" s="96"/>
    </row>
    <row r="24" spans="1:11" ht="13.5" customHeight="1">
      <c r="B24" s="125" t="s">
        <v>106</v>
      </c>
      <c r="C24" s="126"/>
      <c r="D24" s="126"/>
      <c r="E24" s="127"/>
      <c r="F24" s="127"/>
      <c r="G24" s="127"/>
      <c r="H24" s="127"/>
      <c r="I24" s="127"/>
      <c r="J24" s="127"/>
      <c r="K24" s="128"/>
    </row>
    <row r="25" spans="1:11" ht="12.75" customHeight="1">
      <c r="B25" s="125" t="s">
        <v>107</v>
      </c>
      <c r="C25" s="126"/>
      <c r="D25" s="126"/>
      <c r="E25" s="127"/>
      <c r="F25" s="127"/>
      <c r="G25" s="127"/>
      <c r="H25" s="127"/>
      <c r="I25" s="127"/>
      <c r="J25" s="127"/>
      <c r="K25" s="128"/>
    </row>
    <row r="26" spans="1:11" ht="14.25" customHeight="1">
      <c r="B26" s="129" t="s">
        <v>108</v>
      </c>
      <c r="C26" s="130"/>
      <c r="D26" s="131"/>
      <c r="E26" s="131"/>
      <c r="F26" s="131"/>
      <c r="G26" s="130"/>
      <c r="H26" s="130"/>
      <c r="I26" s="132"/>
      <c r="J26" s="132"/>
    </row>
    <row r="27" spans="1:11" ht="14.25" customHeight="1">
      <c r="B27" s="133" t="s">
        <v>109</v>
      </c>
      <c r="C27" s="131"/>
      <c r="D27" s="131"/>
      <c r="E27" s="131"/>
      <c r="F27" s="131"/>
      <c r="G27" s="130"/>
      <c r="H27" s="130"/>
      <c r="I27" s="132"/>
      <c r="J27" s="132"/>
    </row>
    <row r="28" spans="1:11" ht="17.25" customHeight="1">
      <c r="B28" s="134" t="s">
        <v>110</v>
      </c>
      <c r="C28" s="135"/>
      <c r="D28" s="96"/>
      <c r="E28" s="96"/>
      <c r="F28" s="96"/>
      <c r="G28" s="96"/>
      <c r="H28" s="96"/>
    </row>
    <row r="29" spans="1:11" ht="13.5" customHeight="1">
      <c r="D29" s="136"/>
      <c r="E29" s="136"/>
      <c r="F29" s="136"/>
      <c r="G29" s="136"/>
      <c r="H29" s="136"/>
      <c r="I29" s="136"/>
      <c r="J29" s="136"/>
    </row>
    <row r="30" spans="1:11" ht="22.5" customHeight="1">
      <c r="A30" s="60"/>
      <c r="B30" s="137" t="s">
        <v>111</v>
      </c>
      <c r="C30" s="138"/>
      <c r="D30" s="138"/>
      <c r="E30" s="138"/>
      <c r="F30" s="5"/>
      <c r="G30" s="5"/>
      <c r="H30" s="5"/>
      <c r="I30" s="46"/>
      <c r="J30" s="16"/>
      <c r="K30" s="16"/>
    </row>
    <row r="31" spans="1:11" ht="15" customHeight="1">
      <c r="B31" s="139" t="s">
        <v>112</v>
      </c>
      <c r="C31" s="139"/>
      <c r="D31" s="140"/>
    </row>
    <row r="32" spans="1:11" ht="12.75" customHeight="1"/>
    <row r="33" spans="11:12" ht="12.75" customHeight="1"/>
    <row r="34" spans="11:12" ht="12.75" customHeight="1"/>
    <row r="35" spans="11:12" ht="12.75" customHeight="1"/>
    <row r="36" spans="11:12" ht="12.75" customHeight="1">
      <c r="K36" s="1"/>
      <c r="L36" s="1"/>
    </row>
    <row r="37" spans="11:12" ht="12.75" customHeight="1"/>
    <row r="38" spans="11:12" ht="12.75" customHeight="1"/>
    <row r="39" spans="11:12" ht="12.75" customHeight="1"/>
    <row r="40" spans="11:12" ht="12.75" customHeight="1"/>
    <row r="41" spans="11:12" ht="12.75" customHeight="1"/>
    <row r="42" spans="11:12" ht="12.75" customHeight="1"/>
    <row r="43" spans="11:12" ht="12.75" customHeight="1"/>
    <row r="44" spans="11:12" ht="12.75" customHeight="1"/>
    <row r="45" spans="11:12" ht="12.75" customHeight="1"/>
    <row r="46" spans="11:12" ht="12.75" customHeight="1"/>
    <row r="47" spans="11:12" ht="12.75" customHeight="1"/>
    <row r="48" spans="11:12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:C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64" workbookViewId="0"/>
  </sheetViews>
  <sheetFormatPr baseColWidth="10" defaultColWidth="12.6640625" defaultRowHeight="15" customHeight="1"/>
  <cols>
    <col min="1" max="1" width="16.109375" customWidth="1"/>
    <col min="2" max="2" width="10" customWidth="1"/>
    <col min="3" max="4" width="11.77734375" customWidth="1"/>
    <col min="5" max="5" width="12.109375" customWidth="1"/>
    <col min="6" max="6" width="12.33203125" customWidth="1"/>
    <col min="7" max="7" width="7.77734375" customWidth="1"/>
    <col min="8" max="8" width="6.6640625" customWidth="1"/>
    <col min="9" max="9" width="11.109375" customWidth="1"/>
    <col min="10" max="10" width="15.6640625" customWidth="1"/>
    <col min="11" max="11" width="9" customWidth="1"/>
    <col min="12" max="12" width="12" customWidth="1"/>
    <col min="13" max="13" width="8.109375" customWidth="1"/>
    <col min="14" max="14" width="6.6640625" hidden="1" customWidth="1"/>
    <col min="15" max="15" width="12" hidden="1" customWidth="1"/>
    <col min="16" max="16" width="7.77734375" customWidth="1"/>
    <col min="17" max="26" width="10" customWidth="1"/>
  </cols>
  <sheetData>
    <row r="1" spans="1:17" ht="32.25" customHeight="1">
      <c r="B1" s="141"/>
      <c r="C1" s="142" t="s">
        <v>113</v>
      </c>
      <c r="D1" s="141"/>
      <c r="E1" s="141"/>
      <c r="F1" s="141"/>
      <c r="H1" s="4" t="s">
        <v>78</v>
      </c>
      <c r="I1" s="5"/>
      <c r="J1" s="4"/>
      <c r="K1" s="4"/>
      <c r="L1" s="143"/>
      <c r="M1" s="144"/>
      <c r="N1" s="16"/>
      <c r="O1" s="16"/>
      <c r="P1" s="16"/>
      <c r="Q1" s="1"/>
    </row>
    <row r="2" spans="1:17" ht="22.5" customHeight="1">
      <c r="B2" s="142" t="s">
        <v>114</v>
      </c>
      <c r="C2" s="142"/>
      <c r="D2" s="141"/>
      <c r="E2" s="141"/>
      <c r="F2" s="141"/>
    </row>
    <row r="3" spans="1:17" ht="14.25" customHeight="1">
      <c r="A3" s="108" t="s">
        <v>2</v>
      </c>
      <c r="B3" s="145" t="s">
        <v>115</v>
      </c>
      <c r="C3" s="9" t="s">
        <v>116</v>
      </c>
      <c r="D3" s="9" t="s">
        <v>117</v>
      </c>
      <c r="E3" s="146" t="s">
        <v>118</v>
      </c>
      <c r="F3" s="147" t="s">
        <v>119</v>
      </c>
      <c r="G3" s="147" t="s">
        <v>120</v>
      </c>
      <c r="I3" s="123" t="s">
        <v>121</v>
      </c>
      <c r="J3" s="52"/>
      <c r="K3" s="52"/>
      <c r="L3" s="52"/>
    </row>
    <row r="4" spans="1:17" ht="16.5" customHeight="1">
      <c r="A4" s="18" t="s">
        <v>10</v>
      </c>
      <c r="B4" s="19">
        <v>6.25</v>
      </c>
      <c r="C4" s="19">
        <v>4.7</v>
      </c>
      <c r="D4" s="76" t="s">
        <v>122</v>
      </c>
      <c r="E4" s="148">
        <f t="shared" ref="E4:E10" si="0">(B4/(B4-C4)*$E$13)</f>
        <v>3.9705398288347604</v>
      </c>
      <c r="F4" s="148">
        <f t="shared" ref="F4:F10" si="1">E4*(0.01/B4+0.02/(B4-C4)+$E$14/$E$13)</f>
        <v>0.14273160983478531</v>
      </c>
      <c r="G4" s="148">
        <f t="shared" ref="G4:G11" si="2">100*F4/E4</f>
        <v>3.5947658501809552</v>
      </c>
      <c r="I4" s="149" t="s">
        <v>123</v>
      </c>
      <c r="J4" s="53"/>
      <c r="K4" s="52"/>
      <c r="L4" s="52"/>
      <c r="M4" s="1"/>
      <c r="N4" s="1"/>
    </row>
    <row r="5" spans="1:17" ht="16.5" customHeight="1">
      <c r="A5" s="18" t="s">
        <v>12</v>
      </c>
      <c r="B5" s="19">
        <v>25.9</v>
      </c>
      <c r="C5" s="19">
        <v>21.85</v>
      </c>
      <c r="D5" s="76">
        <v>22.52</v>
      </c>
      <c r="E5" s="148">
        <f t="shared" si="0"/>
        <v>6.297178130511468</v>
      </c>
      <c r="F5" s="148">
        <f t="shared" si="1"/>
        <v>0.16856793145110954</v>
      </c>
      <c r="G5" s="148">
        <f t="shared" si="2"/>
        <v>2.6768804686396597</v>
      </c>
      <c r="I5" s="150" t="s">
        <v>124</v>
      </c>
      <c r="J5" s="53"/>
      <c r="K5" s="53"/>
      <c r="L5" s="53"/>
    </row>
    <row r="6" spans="1:17" ht="12.75" customHeight="1">
      <c r="A6" s="18" t="s">
        <v>14</v>
      </c>
      <c r="B6" s="19">
        <v>20.85</v>
      </c>
      <c r="C6" s="19">
        <v>18.7</v>
      </c>
      <c r="D6" s="76" t="s">
        <v>122</v>
      </c>
      <c r="E6" s="148">
        <f t="shared" si="0"/>
        <v>9.549240626483142</v>
      </c>
      <c r="F6" s="148">
        <f t="shared" si="1"/>
        <v>0.29818816479252225</v>
      </c>
      <c r="G6" s="148">
        <f t="shared" si="2"/>
        <v>3.1226374583707708</v>
      </c>
      <c r="I6" s="53" t="s">
        <v>125</v>
      </c>
      <c r="J6" s="53"/>
      <c r="K6" s="53"/>
      <c r="L6" s="52"/>
    </row>
    <row r="7" spans="1:17" ht="15.75" customHeight="1">
      <c r="A7" s="18" t="s">
        <v>16</v>
      </c>
      <c r="B7" s="19">
        <v>6.2</v>
      </c>
      <c r="C7" s="19">
        <v>0.9</v>
      </c>
      <c r="D7" s="76" t="s">
        <v>122</v>
      </c>
      <c r="E7" s="148">
        <f t="shared" si="0"/>
        <v>1.1519060454370427</v>
      </c>
      <c r="F7" s="148">
        <f t="shared" si="1"/>
        <v>3.0906699905062101E-2</v>
      </c>
      <c r="G7" s="148">
        <f t="shared" si="2"/>
        <v>2.6830920826824762</v>
      </c>
      <c r="I7" s="149" t="s">
        <v>126</v>
      </c>
      <c r="J7" s="53"/>
      <c r="K7" s="52"/>
      <c r="L7" s="52"/>
    </row>
    <row r="8" spans="1:17" ht="16.5" customHeight="1">
      <c r="A8" s="18" t="s">
        <v>18</v>
      </c>
      <c r="B8" s="19">
        <v>13.6</v>
      </c>
      <c r="C8" s="19">
        <v>11.73</v>
      </c>
      <c r="D8" s="76" t="s">
        <v>122</v>
      </c>
      <c r="E8" s="148">
        <f t="shared" si="0"/>
        <v>7.1614100185528775</v>
      </c>
      <c r="F8" s="148">
        <f t="shared" si="1"/>
        <v>0.23543073832670197</v>
      </c>
      <c r="G8" s="148">
        <f t="shared" si="2"/>
        <v>3.2874913978780396</v>
      </c>
      <c r="I8" s="150" t="s">
        <v>127</v>
      </c>
      <c r="J8" s="53"/>
      <c r="K8" s="53"/>
      <c r="L8" s="53"/>
    </row>
    <row r="9" spans="1:17" ht="12.75" customHeight="1">
      <c r="A9" s="18" t="s">
        <v>20</v>
      </c>
      <c r="B9" s="19">
        <v>9.6</v>
      </c>
      <c r="C9" s="19">
        <v>8.4499999999999993</v>
      </c>
      <c r="D9" s="76" t="s">
        <v>122</v>
      </c>
      <c r="E9" s="148">
        <f t="shared" si="0"/>
        <v>8.2200532386867771</v>
      </c>
      <c r="F9" s="148">
        <f t="shared" si="1"/>
        <v>0.32779438151557821</v>
      </c>
      <c r="G9" s="148">
        <f t="shared" si="2"/>
        <v>3.9877403709850681</v>
      </c>
      <c r="I9" s="149" t="s">
        <v>128</v>
      </c>
      <c r="J9" s="151"/>
      <c r="K9" s="52"/>
      <c r="L9" s="52"/>
    </row>
    <row r="10" spans="1:17" ht="12.75" customHeight="1">
      <c r="A10" s="18" t="s">
        <v>129</v>
      </c>
      <c r="B10" s="19">
        <v>5.25</v>
      </c>
      <c r="C10" s="19">
        <v>3.25</v>
      </c>
      <c r="D10" s="76" t="s">
        <v>122</v>
      </c>
      <c r="E10" s="148">
        <f t="shared" si="0"/>
        <v>2.5848214285714284</v>
      </c>
      <c r="F10" s="148">
        <f t="shared" si="1"/>
        <v>8.620171282798833E-2</v>
      </c>
      <c r="G10" s="148">
        <f t="shared" si="2"/>
        <v>3.3349194600119838</v>
      </c>
      <c r="I10" s="149"/>
      <c r="J10" s="151"/>
      <c r="K10" s="52"/>
      <c r="L10" s="52"/>
    </row>
    <row r="11" spans="1:17" ht="12.75" customHeight="1">
      <c r="A11" s="74" t="s">
        <v>61</v>
      </c>
      <c r="B11" s="76" t="s">
        <v>122</v>
      </c>
      <c r="C11" s="76" t="s">
        <v>122</v>
      </c>
      <c r="D11" s="76" t="s">
        <v>122</v>
      </c>
      <c r="E11" s="148">
        <f>(B5-D5)/(B5-C5)*0.98</f>
        <v>0.81787654320987691</v>
      </c>
      <c r="F11" s="148">
        <f>$E$11*(0.02*($B$5-$D$5)+0.02/($B$5-$C$5)+$E$14/$E$13)</f>
        <v>7.6866249314642282E-2</v>
      </c>
      <c r="G11" s="148">
        <f t="shared" si="2"/>
        <v>9.3982704300296191</v>
      </c>
      <c r="L11" s="1"/>
    </row>
    <row r="12" spans="1:17" ht="12.75" customHeight="1">
      <c r="A12" s="62"/>
      <c r="I12" s="85" t="s">
        <v>130</v>
      </c>
      <c r="J12" s="22"/>
      <c r="L12" s="1"/>
    </row>
    <row r="13" spans="1:17" ht="14.25" customHeight="1">
      <c r="A13" s="69" t="s">
        <v>131</v>
      </c>
      <c r="B13" s="69" t="s">
        <v>132</v>
      </c>
      <c r="C13" s="69" t="s">
        <v>133</v>
      </c>
      <c r="D13" s="152" t="s">
        <v>134</v>
      </c>
      <c r="E13" s="153">
        <f>B14/C14</f>
        <v>0.98469387755102034</v>
      </c>
      <c r="F13" s="62"/>
      <c r="G13" s="154"/>
      <c r="H13" s="62"/>
      <c r="I13" s="155" t="s">
        <v>135</v>
      </c>
      <c r="J13" s="156"/>
      <c r="L13" s="1"/>
    </row>
    <row r="14" spans="1:17" ht="16.5" customHeight="1">
      <c r="A14" s="157" t="s">
        <v>136</v>
      </c>
      <c r="B14" s="158">
        <v>9.65</v>
      </c>
      <c r="C14" s="159">
        <v>9.8000000000000007</v>
      </c>
      <c r="D14" s="160" t="s">
        <v>137</v>
      </c>
      <c r="E14" s="153">
        <f>E13*(0.01/B14+0.2/C14)</f>
        <v>2.1116201582673882E-2</v>
      </c>
      <c r="F14" s="62"/>
      <c r="G14" s="62"/>
      <c r="H14" s="62"/>
      <c r="I14" s="62"/>
      <c r="J14" s="62"/>
      <c r="K14" s="62"/>
      <c r="L14" s="1"/>
    </row>
    <row r="15" spans="1:17" ht="13.5" customHeight="1">
      <c r="A15" s="119" t="s">
        <v>138</v>
      </c>
      <c r="B15" s="119"/>
      <c r="C15" s="119"/>
      <c r="D15" s="119"/>
      <c r="E15" s="119"/>
      <c r="F15" s="119"/>
      <c r="G15" s="120"/>
      <c r="H15" s="120"/>
      <c r="I15" s="161"/>
      <c r="J15" s="161"/>
      <c r="K15" s="161"/>
      <c r="L15" s="1"/>
      <c r="M15" s="1"/>
    </row>
    <row r="16" spans="1:17" ht="13.5" customHeight="1">
      <c r="A16" s="119" t="s">
        <v>139</v>
      </c>
      <c r="B16" s="119"/>
      <c r="C16" s="119"/>
      <c r="D16" s="119"/>
      <c r="E16" s="119"/>
      <c r="F16" s="119"/>
      <c r="G16" s="120"/>
      <c r="H16" s="120"/>
      <c r="I16" s="44"/>
      <c r="J16" s="161"/>
      <c r="K16" s="161"/>
      <c r="L16" s="1"/>
      <c r="M16" s="1"/>
    </row>
    <row r="17" spans="1:22" ht="13.5" customHeight="1">
      <c r="A17" s="119" t="s">
        <v>140</v>
      </c>
      <c r="B17" s="119"/>
      <c r="C17" s="119"/>
      <c r="D17" s="119"/>
      <c r="E17" s="119"/>
      <c r="F17" s="119"/>
      <c r="G17" s="119"/>
      <c r="H17" s="119"/>
      <c r="I17" s="161"/>
      <c r="J17" s="161"/>
      <c r="K17" s="161"/>
      <c r="L17" s="62"/>
      <c r="M17" s="1"/>
    </row>
    <row r="18" spans="1:22" ht="12.7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1"/>
    </row>
    <row r="19" spans="1:22" ht="14.25" customHeight="1">
      <c r="A19" s="55"/>
      <c r="L19" s="1"/>
    </row>
    <row r="20" spans="1:22" ht="24" customHeight="1">
      <c r="A20" s="162" t="s">
        <v>141</v>
      </c>
      <c r="B20" s="163"/>
      <c r="C20" s="163"/>
      <c r="D20" s="163"/>
      <c r="E20" s="163"/>
      <c r="H20" s="164" t="s">
        <v>142</v>
      </c>
      <c r="I20" s="165"/>
      <c r="J20" s="166"/>
      <c r="K20" s="166"/>
      <c r="L20" s="166"/>
      <c r="M20" s="166"/>
      <c r="N20" s="167"/>
      <c r="O20" s="49"/>
      <c r="P20" s="49"/>
      <c r="Q20" s="1"/>
    </row>
    <row r="21" spans="1:22" ht="17.25" customHeight="1">
      <c r="A21" s="168" t="s">
        <v>143</v>
      </c>
      <c r="B21" s="169"/>
      <c r="C21" s="170"/>
      <c r="D21" s="170"/>
      <c r="E21" s="170"/>
      <c r="H21" s="165" t="s">
        <v>144</v>
      </c>
      <c r="I21" s="165"/>
      <c r="J21" s="165"/>
      <c r="K21" s="165"/>
      <c r="L21" s="165"/>
      <c r="M21" s="166"/>
      <c r="N21" s="167"/>
      <c r="O21" s="49"/>
      <c r="P21" s="49"/>
      <c r="Q21" s="1"/>
    </row>
    <row r="22" spans="1:22" ht="18" customHeight="1">
      <c r="A22" s="168"/>
      <c r="B22" s="169"/>
      <c r="C22" s="170"/>
      <c r="D22" s="170"/>
      <c r="E22" s="170"/>
      <c r="I22" s="171" t="s">
        <v>145</v>
      </c>
      <c r="J22" s="172"/>
      <c r="K22" s="172"/>
      <c r="L22" s="172"/>
      <c r="M22" s="172"/>
      <c r="N22" s="172"/>
      <c r="O22" s="173"/>
      <c r="P22" s="173"/>
    </row>
    <row r="23" spans="1:22" ht="18" customHeight="1">
      <c r="A23" s="174" t="s">
        <v>2</v>
      </c>
      <c r="B23" s="175" t="s">
        <v>146</v>
      </c>
      <c r="C23" s="175" t="s">
        <v>147</v>
      </c>
      <c r="D23" s="175" t="s">
        <v>148</v>
      </c>
      <c r="E23" s="175" t="s">
        <v>149</v>
      </c>
      <c r="F23" s="175" t="s">
        <v>150</v>
      </c>
      <c r="G23" s="175" t="s">
        <v>151</v>
      </c>
      <c r="I23" s="176" t="s">
        <v>152</v>
      </c>
      <c r="J23" s="176"/>
      <c r="K23" s="176"/>
      <c r="L23" s="176"/>
      <c r="M23" s="172"/>
      <c r="N23" s="172"/>
      <c r="O23" s="173"/>
      <c r="P23" s="173"/>
    </row>
    <row r="24" spans="1:22" ht="14.25" customHeight="1">
      <c r="A24" s="18" t="s">
        <v>10</v>
      </c>
      <c r="B24" s="177" t="s">
        <v>153</v>
      </c>
      <c r="C24" s="178" t="s">
        <v>154</v>
      </c>
      <c r="D24" s="177" t="s">
        <v>155</v>
      </c>
      <c r="E24" s="178" t="s">
        <v>156</v>
      </c>
      <c r="F24" s="177" t="s">
        <v>157</v>
      </c>
      <c r="G24" s="178" t="s">
        <v>158</v>
      </c>
      <c r="I24" s="179" t="s">
        <v>159</v>
      </c>
      <c r="J24" s="173"/>
      <c r="K24" s="173"/>
      <c r="L24" s="173"/>
      <c r="M24" s="173"/>
      <c r="N24" s="173"/>
      <c r="O24" s="173"/>
      <c r="P24" s="173"/>
    </row>
    <row r="25" spans="1:22" ht="12.75" customHeight="1">
      <c r="A25" s="180" t="s">
        <v>160</v>
      </c>
      <c r="B25" s="75">
        <v>0.92</v>
      </c>
      <c r="C25" s="24">
        <v>2E-3</v>
      </c>
      <c r="D25" s="75">
        <v>4.0999999999999996</v>
      </c>
      <c r="E25" s="24">
        <v>2E-3</v>
      </c>
      <c r="F25" s="75">
        <v>3.47</v>
      </c>
      <c r="G25" s="24">
        <v>2E-3</v>
      </c>
      <c r="I25" s="181" t="s">
        <v>161</v>
      </c>
      <c r="J25" s="181"/>
      <c r="K25" s="181"/>
      <c r="L25" s="92"/>
      <c r="M25" s="92"/>
    </row>
    <row r="26" spans="1:22" ht="13.5" customHeight="1">
      <c r="A26" s="180" t="s">
        <v>162</v>
      </c>
      <c r="B26" s="75">
        <v>0.94</v>
      </c>
      <c r="C26" s="24">
        <v>2E-3</v>
      </c>
      <c r="D26" s="75">
        <v>4.0999999999999996</v>
      </c>
      <c r="E26" s="24">
        <v>2E-3</v>
      </c>
      <c r="F26" s="75">
        <v>3.452</v>
      </c>
      <c r="G26" s="24">
        <v>2E-3</v>
      </c>
      <c r="I26" s="123" t="s">
        <v>163</v>
      </c>
      <c r="J26" s="52"/>
      <c r="K26" s="52"/>
      <c r="L26" s="52"/>
      <c r="M26" s="52"/>
      <c r="N26" s="52"/>
      <c r="O26" s="52"/>
      <c r="P26" s="52"/>
    </row>
    <row r="27" spans="1:22" ht="12.75" customHeight="1">
      <c r="A27" s="180" t="s">
        <v>164</v>
      </c>
      <c r="B27" s="75">
        <v>0.96</v>
      </c>
      <c r="C27" s="24">
        <v>2E-3</v>
      </c>
      <c r="D27" s="75">
        <v>4.1100000000000003</v>
      </c>
      <c r="E27" s="24">
        <v>2E-3</v>
      </c>
      <c r="F27" s="75">
        <v>3.5</v>
      </c>
      <c r="G27" s="24">
        <v>2E-3</v>
      </c>
      <c r="I27" s="53" t="s">
        <v>165</v>
      </c>
      <c r="J27" s="53"/>
      <c r="K27" s="53"/>
      <c r="L27" s="53"/>
      <c r="M27" s="53"/>
      <c r="N27" s="52"/>
      <c r="O27" s="52"/>
      <c r="P27" s="52"/>
      <c r="Q27" s="1"/>
      <c r="R27" s="1"/>
      <c r="S27" s="1"/>
      <c r="T27" s="1"/>
      <c r="U27" s="1"/>
      <c r="V27" s="1"/>
    </row>
    <row r="28" spans="1:22" ht="15" customHeight="1">
      <c r="A28" s="182" t="s">
        <v>166</v>
      </c>
      <c r="B28" s="183">
        <f>AVERAGE(B25:B27)</f>
        <v>0.94</v>
      </c>
      <c r="C28" s="184">
        <f>MAX(0.002,STDEV(B25:B27))</f>
        <v>1.9999999999999962E-2</v>
      </c>
      <c r="D28" s="183">
        <f>AVERAGE(D25:D27)</f>
        <v>4.1033333333333326</v>
      </c>
      <c r="E28" s="184">
        <f>MAX(0.002,STDEV(D25:D27))</f>
        <v>5.7735026918966474E-3</v>
      </c>
      <c r="F28" s="183">
        <f>AVERAGE(F25:F27)</f>
        <v>3.4740000000000002</v>
      </c>
      <c r="G28" s="184">
        <f>MAX(0.002,STDEV(F25:F27))</f>
        <v>2.4248711305964288E-2</v>
      </c>
      <c r="I28" s="185" t="s">
        <v>167</v>
      </c>
      <c r="J28" s="52"/>
      <c r="K28" s="52"/>
      <c r="L28" s="52"/>
      <c r="M28" s="52"/>
      <c r="N28" s="52"/>
      <c r="O28" s="52"/>
      <c r="P28" s="52"/>
      <c r="Q28" s="1"/>
      <c r="R28" s="186"/>
      <c r="S28" s="136"/>
      <c r="T28" s="136"/>
      <c r="U28" s="1"/>
      <c r="V28" s="1"/>
    </row>
    <row r="29" spans="1:22" ht="13.5" customHeight="1">
      <c r="A29" s="62"/>
      <c r="B29" s="38"/>
      <c r="C29" s="38"/>
      <c r="D29" s="38"/>
      <c r="E29" s="38"/>
      <c r="F29" s="38"/>
      <c r="G29" s="38"/>
      <c r="I29" s="53" t="s">
        <v>168</v>
      </c>
      <c r="J29" s="53"/>
      <c r="K29" s="52"/>
      <c r="L29" s="52"/>
      <c r="M29" s="52"/>
      <c r="N29" s="187"/>
      <c r="O29" s="187"/>
      <c r="P29" s="52"/>
      <c r="Q29" s="1"/>
      <c r="R29" s="1"/>
      <c r="S29" s="1"/>
      <c r="T29" s="1"/>
      <c r="U29" s="1"/>
      <c r="V29" s="1"/>
    </row>
    <row r="30" spans="1:22" ht="13.5" customHeight="1">
      <c r="A30" s="18" t="s">
        <v>12</v>
      </c>
      <c r="B30" s="177" t="s">
        <v>169</v>
      </c>
      <c r="C30" s="178" t="s">
        <v>170</v>
      </c>
      <c r="D30" s="177" t="s">
        <v>171</v>
      </c>
      <c r="E30" s="178" t="s">
        <v>172</v>
      </c>
      <c r="F30" s="177" t="s">
        <v>173</v>
      </c>
      <c r="G30" s="178" t="s">
        <v>174</v>
      </c>
      <c r="H30" s="1"/>
      <c r="P30" s="1"/>
      <c r="Q30" s="1"/>
      <c r="R30" s="1"/>
    </row>
    <row r="31" spans="1:22" ht="12.75" customHeight="1">
      <c r="A31" s="180" t="s">
        <v>160</v>
      </c>
      <c r="B31" s="75">
        <v>0.624</v>
      </c>
      <c r="C31" s="24">
        <v>2E-3</v>
      </c>
      <c r="D31" s="75">
        <v>2.944</v>
      </c>
      <c r="E31" s="24">
        <v>2E-3</v>
      </c>
      <c r="F31" s="75">
        <v>2.25</v>
      </c>
      <c r="G31" s="24">
        <v>2E-3</v>
      </c>
      <c r="I31" s="1"/>
      <c r="J31" s="1"/>
      <c r="K31" s="1"/>
      <c r="L31" s="1"/>
    </row>
    <row r="32" spans="1:22" ht="12.75" customHeight="1">
      <c r="A32" s="180" t="s">
        <v>162</v>
      </c>
      <c r="B32" s="75">
        <v>0.626</v>
      </c>
      <c r="C32" s="24">
        <v>2E-3</v>
      </c>
      <c r="D32" s="75">
        <v>2.97</v>
      </c>
      <c r="E32" s="24">
        <v>2E-3</v>
      </c>
      <c r="F32" s="75">
        <v>2.2360000000000002</v>
      </c>
      <c r="G32" s="24">
        <v>2E-3</v>
      </c>
      <c r="I32" s="1"/>
      <c r="J32" s="1"/>
      <c r="K32" s="1"/>
      <c r="L32" s="1"/>
    </row>
    <row r="33" spans="1:26" ht="12.75" customHeight="1">
      <c r="A33" s="180" t="s">
        <v>164</v>
      </c>
      <c r="B33" s="75">
        <v>0.68</v>
      </c>
      <c r="C33" s="24">
        <v>2E-3</v>
      </c>
      <c r="D33" s="75">
        <v>2.94</v>
      </c>
      <c r="E33" s="24">
        <v>2E-3</v>
      </c>
      <c r="F33" s="75">
        <v>2.246</v>
      </c>
      <c r="G33" s="24">
        <v>2E-3</v>
      </c>
      <c r="I33" s="1"/>
      <c r="J33" s="1"/>
      <c r="K33" s="1"/>
      <c r="L33" s="1"/>
    </row>
    <row r="34" spans="1:26" ht="15" customHeight="1">
      <c r="A34" s="182" t="s">
        <v>175</v>
      </c>
      <c r="B34" s="183">
        <f>AVERAGE(B31:B33)</f>
        <v>0.64333333333333342</v>
      </c>
      <c r="C34" s="184">
        <f>MAX(0.002,STDEV(B31:B33))</f>
        <v>3.1770006819850309E-2</v>
      </c>
      <c r="D34" s="183">
        <f>AVERAGE(D31:D33)</f>
        <v>2.9513333333333329</v>
      </c>
      <c r="E34" s="184">
        <f>MAX(0.002,STDEV(D31:D33))</f>
        <v>1.6289055630494296E-2</v>
      </c>
      <c r="F34" s="183">
        <f>AVERAGE(F31:F33)</f>
        <v>2.2440000000000002</v>
      </c>
      <c r="G34" s="184">
        <f>MAX(0.002,STDEV(F31:F33))</f>
        <v>7.211102550927862E-3</v>
      </c>
    </row>
    <row r="35" spans="1:26" ht="12.75" customHeight="1">
      <c r="A35" s="62"/>
      <c r="B35" s="38"/>
      <c r="C35" s="38"/>
      <c r="D35" s="38"/>
      <c r="E35" s="38"/>
      <c r="F35" s="38"/>
      <c r="G35" s="38"/>
    </row>
    <row r="36" spans="1:26" ht="12.75" customHeight="1">
      <c r="A36" s="18" t="s">
        <v>14</v>
      </c>
      <c r="B36" s="177" t="s">
        <v>176</v>
      </c>
      <c r="C36" s="178" t="s">
        <v>177</v>
      </c>
      <c r="D36" s="177" t="s">
        <v>178</v>
      </c>
      <c r="E36" s="178" t="s">
        <v>179</v>
      </c>
      <c r="F36" s="177" t="s">
        <v>180</v>
      </c>
      <c r="G36" s="178" t="s">
        <v>181</v>
      </c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 spans="1:26" ht="12.75" customHeight="1">
      <c r="A37" s="180" t="s">
        <v>160</v>
      </c>
      <c r="B37" s="75">
        <v>0.28599999999999998</v>
      </c>
      <c r="C37" s="24">
        <v>2E-3</v>
      </c>
      <c r="D37" s="75">
        <v>4.4000000000000004</v>
      </c>
      <c r="E37" s="24">
        <v>2E-3</v>
      </c>
      <c r="F37" s="75">
        <v>1.992</v>
      </c>
      <c r="G37" s="24">
        <v>2E-3</v>
      </c>
      <c r="I37" s="1"/>
      <c r="J37" s="1"/>
      <c r="K37" s="1"/>
      <c r="L37" s="1"/>
    </row>
    <row r="38" spans="1:26" ht="12.75" customHeight="1">
      <c r="A38" s="180" t="s">
        <v>162</v>
      </c>
      <c r="B38" s="75">
        <v>0.28799999999999998</v>
      </c>
      <c r="C38" s="24">
        <v>2E-3</v>
      </c>
      <c r="D38" s="75">
        <v>4.5199999999999996</v>
      </c>
      <c r="E38" s="24">
        <v>2E-3</v>
      </c>
      <c r="F38" s="75">
        <v>1.9219999999999999</v>
      </c>
      <c r="G38" s="24">
        <v>2E-3</v>
      </c>
      <c r="I38" s="1"/>
      <c r="J38" s="1"/>
      <c r="K38" s="1"/>
      <c r="L38" s="1"/>
    </row>
    <row r="39" spans="1:26" ht="12.75" customHeight="1">
      <c r="A39" s="180" t="s">
        <v>164</v>
      </c>
      <c r="B39" s="75">
        <v>0.28599999999999998</v>
      </c>
      <c r="C39" s="24">
        <v>2E-3</v>
      </c>
      <c r="D39" s="75">
        <v>4.28</v>
      </c>
      <c r="E39" s="24">
        <v>2E-3</v>
      </c>
      <c r="F39" s="75">
        <v>1.954</v>
      </c>
      <c r="G39" s="24">
        <v>2E-3</v>
      </c>
      <c r="I39" s="1"/>
      <c r="J39" s="1"/>
      <c r="K39" s="1"/>
      <c r="L39" s="1"/>
    </row>
    <row r="40" spans="1:26" ht="15" customHeight="1">
      <c r="A40" s="182" t="s">
        <v>182</v>
      </c>
      <c r="B40" s="183">
        <f>AVERAGE(B37:B39)</f>
        <v>0.28666666666666663</v>
      </c>
      <c r="C40" s="184">
        <f>MAX(0.002,STDEV(B37:B39))</f>
        <v>2E-3</v>
      </c>
      <c r="D40" s="183">
        <f>AVERAGE(D37:D39)</f>
        <v>4.3999999999999995</v>
      </c>
      <c r="E40" s="184">
        <f>MAX(0.002,STDEV(D37:D39))</f>
        <v>0.11999999999999966</v>
      </c>
      <c r="F40" s="183">
        <f>AVERAGE(F37:F39)</f>
        <v>1.9559999999999997</v>
      </c>
      <c r="G40" s="184">
        <f>MAX(0.002,STDEV(F37:F39))</f>
        <v>3.5042830935870496E-2</v>
      </c>
    </row>
    <row r="41" spans="1:26" ht="12.75" customHeight="1">
      <c r="A41" s="62"/>
      <c r="B41" s="38"/>
      <c r="C41" s="38"/>
      <c r="D41" s="38"/>
      <c r="E41" s="38"/>
      <c r="F41" s="38"/>
      <c r="G41" s="38"/>
    </row>
    <row r="42" spans="1:26" ht="13.5" customHeight="1">
      <c r="A42" s="18" t="s">
        <v>16</v>
      </c>
      <c r="B42" s="177" t="s">
        <v>183</v>
      </c>
      <c r="C42" s="178" t="s">
        <v>184</v>
      </c>
      <c r="D42" s="177" t="s">
        <v>185</v>
      </c>
      <c r="E42" s="178" t="s">
        <v>186</v>
      </c>
      <c r="F42" s="177" t="s">
        <v>187</v>
      </c>
      <c r="G42" s="178" t="s">
        <v>188</v>
      </c>
    </row>
    <row r="43" spans="1:26" ht="12.75" customHeight="1">
      <c r="A43" s="180" t="s">
        <v>160</v>
      </c>
      <c r="B43" s="75">
        <v>0.47599999999999998</v>
      </c>
      <c r="C43" s="24">
        <v>2E-3</v>
      </c>
      <c r="D43" s="75">
        <v>4.194</v>
      </c>
      <c r="E43" s="24">
        <v>2E-3</v>
      </c>
      <c r="F43" s="75">
        <v>2.5259999999999998</v>
      </c>
      <c r="G43" s="24">
        <v>2E-3</v>
      </c>
    </row>
    <row r="44" spans="1:26" ht="12.75" customHeight="1">
      <c r="A44" s="180" t="s">
        <v>162</v>
      </c>
      <c r="B44" s="75">
        <v>0.47399999999999998</v>
      </c>
      <c r="C44" s="24">
        <v>2E-3</v>
      </c>
      <c r="D44" s="75">
        <v>4.1879999999999997</v>
      </c>
      <c r="E44" s="24">
        <v>2E-3</v>
      </c>
      <c r="F44" s="75">
        <v>2.54</v>
      </c>
      <c r="G44" s="24">
        <v>2E-3</v>
      </c>
    </row>
    <row r="45" spans="1:26" ht="12.75" customHeight="1">
      <c r="A45" s="180" t="s">
        <v>164</v>
      </c>
      <c r="B45" s="75">
        <v>0.47799999999999998</v>
      </c>
      <c r="C45" s="24">
        <v>2E-3</v>
      </c>
      <c r="D45" s="75">
        <v>4.1900000000000004</v>
      </c>
      <c r="E45" s="24">
        <v>2E-3</v>
      </c>
      <c r="F45" s="75">
        <v>2.552</v>
      </c>
      <c r="G45" s="24">
        <v>2E-3</v>
      </c>
    </row>
    <row r="46" spans="1:26" ht="15" customHeight="1">
      <c r="A46" s="182" t="s">
        <v>189</v>
      </c>
      <c r="B46" s="183">
        <f>AVERAGE(B43:B45)</f>
        <v>0.47599999999999998</v>
      </c>
      <c r="C46" s="184">
        <f>MAX(0.002,STDEV(B43:B45))</f>
        <v>2.0000000000000018E-3</v>
      </c>
      <c r="D46" s="183">
        <f>AVERAGE(D43:D45)</f>
        <v>4.1906666666666661</v>
      </c>
      <c r="E46" s="184">
        <f>MAX(0.002,STDEV(D43:D45))</f>
        <v>3.0550504633039444E-3</v>
      </c>
      <c r="F46" s="183">
        <f>AVERAGE(F43:F45)</f>
        <v>2.5393333333333334</v>
      </c>
      <c r="G46" s="184">
        <f>MAX(0.002,STDEV(F43:F45))</f>
        <v>1.3012814197295549E-2</v>
      </c>
    </row>
    <row r="47" spans="1:26" ht="12.75" customHeight="1">
      <c r="A47" s="62"/>
      <c r="B47" s="81"/>
      <c r="C47" s="81"/>
      <c r="D47" s="81"/>
      <c r="E47" s="81"/>
      <c r="F47" s="81"/>
      <c r="G47" s="81"/>
    </row>
    <row r="48" spans="1:26" ht="13.5" customHeight="1">
      <c r="A48" s="18" t="s">
        <v>18</v>
      </c>
      <c r="B48" s="177" t="s">
        <v>190</v>
      </c>
      <c r="C48" s="178" t="s">
        <v>191</v>
      </c>
      <c r="D48" s="188" t="s">
        <v>192</v>
      </c>
      <c r="E48" s="178" t="s">
        <v>193</v>
      </c>
      <c r="F48" s="177" t="s">
        <v>194</v>
      </c>
      <c r="G48" s="178" t="s">
        <v>195</v>
      </c>
    </row>
    <row r="49" spans="1:13" ht="12.75" customHeight="1">
      <c r="A49" s="180" t="s">
        <v>160</v>
      </c>
      <c r="B49" s="75">
        <v>0.28999999999999998</v>
      </c>
      <c r="C49" s="24">
        <v>2E-3</v>
      </c>
      <c r="D49" s="75">
        <v>3.3340000000000001</v>
      </c>
      <c r="E49" s="24">
        <v>2E-3</v>
      </c>
      <c r="F49" s="75">
        <v>0.73199999999999998</v>
      </c>
      <c r="G49" s="24">
        <v>2E-3</v>
      </c>
    </row>
    <row r="50" spans="1:13" ht="12.75" customHeight="1">
      <c r="A50" s="180" t="s">
        <v>162</v>
      </c>
      <c r="B50" s="75">
        <v>0.28999999999999998</v>
      </c>
      <c r="C50" s="24">
        <v>2E-3</v>
      </c>
      <c r="D50" s="75">
        <v>3.37</v>
      </c>
      <c r="E50" s="24">
        <v>2E-3</v>
      </c>
      <c r="F50" s="75">
        <v>0.73</v>
      </c>
      <c r="G50" s="24">
        <v>2E-3</v>
      </c>
    </row>
    <row r="51" spans="1:13" ht="12.75" customHeight="1">
      <c r="A51" s="180" t="s">
        <v>164</v>
      </c>
      <c r="B51" s="75">
        <v>0.29199999999999998</v>
      </c>
      <c r="C51" s="24">
        <v>2E-3</v>
      </c>
      <c r="D51" s="75">
        <v>3.3460000000000001</v>
      </c>
      <c r="E51" s="24">
        <v>2E-3</v>
      </c>
      <c r="F51" s="75">
        <v>0.73199999999999998</v>
      </c>
      <c r="G51" s="24">
        <v>2E-3</v>
      </c>
    </row>
    <row r="52" spans="1:13" ht="15" customHeight="1">
      <c r="A52" s="182" t="s">
        <v>196</v>
      </c>
      <c r="B52" s="183">
        <f>AVERAGE(B49:B51)</f>
        <v>0.29066666666666663</v>
      </c>
      <c r="C52" s="184">
        <f>MAX(0.002,STDEV(B49:B51))</f>
        <v>2E-3</v>
      </c>
      <c r="D52" s="183">
        <f>AVERAGE(D49:D51)</f>
        <v>3.35</v>
      </c>
      <c r="E52" s="184">
        <f>MAX(0.002,STDEV(D49:D51))</f>
        <v>1.8330302779823376E-2</v>
      </c>
      <c r="F52" s="183">
        <f>AVERAGE(F49:F51)</f>
        <v>0.73133333333333328</v>
      </c>
      <c r="G52" s="184">
        <f>MAX(0.002,STDEV(F49:F51))</f>
        <v>2E-3</v>
      </c>
    </row>
    <row r="53" spans="1:13" ht="12.75" customHeight="1">
      <c r="A53" s="182"/>
      <c r="B53" s="189"/>
      <c r="C53" s="190" t="s">
        <v>197</v>
      </c>
      <c r="D53" s="191">
        <f>PI()*(D52-F52)</f>
        <v>8.2267839622004733</v>
      </c>
      <c r="E53" s="184">
        <f>E52+G52</f>
        <v>2.0330302779823374E-2</v>
      </c>
      <c r="F53" s="189"/>
      <c r="G53" s="189"/>
    </row>
    <row r="54" spans="1:13" ht="13.5" customHeight="1">
      <c r="A54" s="18" t="s">
        <v>20</v>
      </c>
      <c r="B54" s="177" t="s">
        <v>198</v>
      </c>
      <c r="C54" s="178" t="s">
        <v>199</v>
      </c>
      <c r="D54" s="188" t="s">
        <v>200</v>
      </c>
      <c r="E54" s="178" t="s">
        <v>201</v>
      </c>
      <c r="F54" s="177" t="s">
        <v>202</v>
      </c>
      <c r="G54" s="178" t="s">
        <v>203</v>
      </c>
    </row>
    <row r="55" spans="1:13" ht="12.75" customHeight="1">
      <c r="A55" s="180" t="s">
        <v>160</v>
      </c>
      <c r="B55" s="75">
        <v>0.90400000000000003</v>
      </c>
      <c r="C55" s="24">
        <v>2E-3</v>
      </c>
      <c r="D55" s="75">
        <v>1.764</v>
      </c>
      <c r="E55" s="24">
        <v>2E-3</v>
      </c>
      <c r="F55" s="75">
        <v>0.27600000000000002</v>
      </c>
      <c r="G55" s="24">
        <v>2E-3</v>
      </c>
    </row>
    <row r="56" spans="1:13" ht="12.75" customHeight="1">
      <c r="A56" s="180" t="s">
        <v>162</v>
      </c>
      <c r="B56" s="75">
        <v>0.90200000000000002</v>
      </c>
      <c r="C56" s="24">
        <v>2E-3</v>
      </c>
      <c r="D56" s="75">
        <v>1.76</v>
      </c>
      <c r="E56" s="24">
        <v>2E-3</v>
      </c>
      <c r="F56" s="75">
        <v>0.27800000000000002</v>
      </c>
      <c r="G56" s="24">
        <v>2E-3</v>
      </c>
    </row>
    <row r="57" spans="1:13" ht="12.75" customHeight="1">
      <c r="A57" s="180" t="s">
        <v>164</v>
      </c>
      <c r="B57" s="75">
        <v>0.89600000000000002</v>
      </c>
      <c r="C57" s="24">
        <v>2E-3</v>
      </c>
      <c r="D57" s="75">
        <v>1.764</v>
      </c>
      <c r="E57" s="24">
        <v>2E-3</v>
      </c>
      <c r="F57" s="75">
        <v>0.27</v>
      </c>
      <c r="G57" s="24">
        <v>2E-3</v>
      </c>
    </row>
    <row r="58" spans="1:13" ht="15" customHeight="1">
      <c r="A58" s="182" t="s">
        <v>204</v>
      </c>
      <c r="B58" s="183">
        <f>AVERAGE(B55:B57)</f>
        <v>0.90066666666666662</v>
      </c>
      <c r="C58" s="184">
        <f>MAX(0.002,STDEV(B55:B57))</f>
        <v>4.1633319989322695E-3</v>
      </c>
      <c r="D58" s="183">
        <f>AVERAGE(D55:D57)</f>
        <v>1.7626666666666668</v>
      </c>
      <c r="E58" s="184">
        <f>MAX(0.002,STDEV(D55:D57))</f>
        <v>2.3094010767585054E-3</v>
      </c>
      <c r="F58" s="183">
        <f>AVERAGE(F55:F57)</f>
        <v>0.27466666666666667</v>
      </c>
      <c r="G58" s="184">
        <f>MAX(0.002,STDEV(F55:F57))</f>
        <v>4.1633319989322687E-3</v>
      </c>
    </row>
    <row r="59" spans="1:13" ht="15" customHeight="1">
      <c r="A59" s="62"/>
      <c r="B59" s="38"/>
      <c r="C59" s="190" t="s">
        <v>197</v>
      </c>
      <c r="D59" s="191">
        <f>PI()*(D58-F58)</f>
        <v>4.6746898685416127</v>
      </c>
      <c r="E59" s="184">
        <f>E58+G58</f>
        <v>6.4727330756907744E-3</v>
      </c>
      <c r="F59" s="38"/>
      <c r="G59" s="38"/>
      <c r="H59" s="22" t="s">
        <v>205</v>
      </c>
      <c r="I59" s="22"/>
      <c r="J59" s="22"/>
      <c r="K59" s="16"/>
      <c r="L59" s="16"/>
      <c r="M59" s="16"/>
    </row>
    <row r="60" spans="1:13" ht="14.25" customHeight="1">
      <c r="A60" s="18" t="s">
        <v>206</v>
      </c>
      <c r="B60" s="177" t="s">
        <v>207</v>
      </c>
      <c r="C60" s="178" t="s">
        <v>208</v>
      </c>
      <c r="D60" s="177" t="s">
        <v>209</v>
      </c>
      <c r="E60" s="178" t="s">
        <v>210</v>
      </c>
      <c r="F60" s="177" t="s">
        <v>211</v>
      </c>
      <c r="G60" s="178" t="s">
        <v>212</v>
      </c>
      <c r="H60" s="186"/>
      <c r="I60" s="192" t="s">
        <v>213</v>
      </c>
      <c r="J60" s="192"/>
      <c r="K60" s="193"/>
      <c r="L60" s="16"/>
      <c r="M60" s="16"/>
    </row>
    <row r="61" spans="1:13" ht="12.75" customHeight="1">
      <c r="A61" s="180" t="s">
        <v>160</v>
      </c>
      <c r="B61" s="75">
        <v>2.3639999999999999</v>
      </c>
      <c r="C61" s="24">
        <v>2E-3</v>
      </c>
      <c r="D61" s="75">
        <v>1.63</v>
      </c>
      <c r="E61" s="24">
        <v>2E-3</v>
      </c>
      <c r="F61" s="75">
        <v>0.13400000000000001</v>
      </c>
      <c r="G61" s="24">
        <v>2E-3</v>
      </c>
      <c r="J61" s="1"/>
      <c r="K61" s="1"/>
    </row>
    <row r="62" spans="1:13" ht="12.75" customHeight="1">
      <c r="A62" s="180" t="s">
        <v>162</v>
      </c>
      <c r="B62" s="75">
        <v>2.3679999999999999</v>
      </c>
      <c r="C62" s="24">
        <v>2E-3</v>
      </c>
      <c r="D62" s="75">
        <v>1.6279999999999999</v>
      </c>
      <c r="E62" s="24">
        <v>2E-3</v>
      </c>
      <c r="F62" s="75">
        <v>0.152</v>
      </c>
      <c r="G62" s="24">
        <v>2E-3</v>
      </c>
      <c r="J62" s="1"/>
      <c r="K62" s="1"/>
    </row>
    <row r="63" spans="1:13" ht="12.75" customHeight="1">
      <c r="A63" s="180" t="s">
        <v>164</v>
      </c>
      <c r="B63" s="75">
        <v>2.3559999999999999</v>
      </c>
      <c r="C63" s="24">
        <v>2E-3</v>
      </c>
      <c r="D63" s="75">
        <v>1.6279999999999999</v>
      </c>
      <c r="E63" s="24">
        <v>2E-3</v>
      </c>
      <c r="F63" s="75">
        <v>0.16</v>
      </c>
      <c r="G63" s="24">
        <v>2E-3</v>
      </c>
      <c r="J63" s="1"/>
      <c r="K63" s="1"/>
    </row>
    <row r="64" spans="1:13" ht="15" customHeight="1">
      <c r="A64" s="182" t="s">
        <v>214</v>
      </c>
      <c r="B64" s="183">
        <f>AVERAGE(B61:B63)</f>
        <v>2.3626666666666662</v>
      </c>
      <c r="C64" s="184">
        <f>MAX(0.002,STDEV(B61:B63))</f>
        <v>6.1101009266077916E-3</v>
      </c>
      <c r="D64" s="183">
        <f>AVERAGE(D61:D63)</f>
        <v>1.6286666666666667</v>
      </c>
      <c r="E64" s="184">
        <f>MAX(0.002,STDEV(D61:D63))</f>
        <v>2E-3</v>
      </c>
      <c r="F64" s="183">
        <f>AVERAGE(F61:F63)</f>
        <v>0.1486666666666667</v>
      </c>
      <c r="G64" s="184">
        <f>MAX(0.002,STDEV(F61:F63))</f>
        <v>1.3316656236958782E-2</v>
      </c>
    </row>
    <row r="65" spans="1:16" ht="15" customHeight="1">
      <c r="A65" s="62"/>
      <c r="B65" s="38"/>
      <c r="C65" s="190" t="s">
        <v>197</v>
      </c>
      <c r="D65" s="191">
        <f>4*(D64-F64)</f>
        <v>5.92</v>
      </c>
      <c r="E65" s="184">
        <f>E64+G64</f>
        <v>1.5316656236958782E-2</v>
      </c>
      <c r="F65" s="38"/>
      <c r="G65" s="38"/>
      <c r="H65" s="22" t="s">
        <v>215</v>
      </c>
      <c r="I65" s="22"/>
      <c r="J65" s="22"/>
      <c r="K65" s="16"/>
      <c r="L65" s="16"/>
    </row>
    <row r="66" spans="1:16" ht="13.5" customHeight="1">
      <c r="A66" s="74" t="s">
        <v>61</v>
      </c>
      <c r="B66" s="194" t="s">
        <v>216</v>
      </c>
      <c r="C66" s="194" t="s">
        <v>217</v>
      </c>
      <c r="D66" s="194" t="s">
        <v>218</v>
      </c>
      <c r="E66" s="194" t="s">
        <v>219</v>
      </c>
      <c r="F66" s="177" t="s">
        <v>220</v>
      </c>
      <c r="I66" s="192" t="s">
        <v>213</v>
      </c>
      <c r="J66" s="192"/>
      <c r="K66" s="193"/>
      <c r="L66" s="16"/>
    </row>
    <row r="67" spans="1:16" ht="14.25" customHeight="1">
      <c r="A67" s="180" t="s">
        <v>160</v>
      </c>
      <c r="B67" s="158">
        <v>25.91</v>
      </c>
      <c r="C67" s="195">
        <v>1.5</v>
      </c>
      <c r="D67" s="195">
        <v>3.702</v>
      </c>
      <c r="E67" s="196">
        <f>D67-C67</f>
        <v>2.202</v>
      </c>
      <c r="F67" s="195">
        <v>4.0999999999999996</v>
      </c>
    </row>
    <row r="68" spans="1:16" ht="15" customHeight="1">
      <c r="B68" s="197" t="s">
        <v>221</v>
      </c>
      <c r="C68" s="198"/>
      <c r="D68" s="199"/>
      <c r="E68" s="199"/>
      <c r="F68" s="200"/>
      <c r="G68" s="128"/>
      <c r="H68" s="201" t="s">
        <v>222</v>
      </c>
      <c r="I68" s="334" t="s">
        <v>223</v>
      </c>
      <c r="J68" s="335"/>
      <c r="K68" s="335"/>
      <c r="L68" s="335"/>
      <c r="M68" s="335"/>
      <c r="N68" s="335"/>
      <c r="O68" s="335"/>
      <c r="P68" s="336"/>
    </row>
    <row r="69" spans="1:16" ht="15" customHeight="1">
      <c r="E69" s="61"/>
      <c r="I69" s="337"/>
      <c r="J69" s="338"/>
      <c r="K69" s="338"/>
      <c r="L69" s="338"/>
      <c r="M69" s="338"/>
      <c r="N69" s="338"/>
      <c r="O69" s="338"/>
      <c r="P69" s="339"/>
    </row>
    <row r="70" spans="1:16" ht="22.5" customHeight="1">
      <c r="C70" s="142" t="s">
        <v>224</v>
      </c>
      <c r="D70" s="141"/>
      <c r="E70" s="142"/>
      <c r="F70" s="141"/>
      <c r="G70" s="141"/>
      <c r="H70" s="141"/>
    </row>
    <row r="71" spans="1:16" ht="15" customHeight="1">
      <c r="A71" s="122" t="s">
        <v>225</v>
      </c>
      <c r="B71" s="122"/>
      <c r="C71" s="202"/>
      <c r="D71" s="122"/>
      <c r="E71" s="202"/>
      <c r="F71" s="202"/>
      <c r="G71" s="202"/>
      <c r="H71" s="202"/>
      <c r="I71" s="202"/>
      <c r="J71" s="202"/>
      <c r="K71" s="202"/>
      <c r="L71" s="202"/>
      <c r="M71" s="44"/>
      <c r="N71" s="44"/>
      <c r="O71" s="44"/>
    </row>
    <row r="72" spans="1:16" ht="15" customHeight="1">
      <c r="A72" s="122" t="s">
        <v>226</v>
      </c>
      <c r="B72" s="122"/>
      <c r="C72" s="202"/>
      <c r="D72" s="122"/>
      <c r="E72" s="202"/>
      <c r="F72" s="202"/>
      <c r="G72" s="202"/>
      <c r="H72" s="202"/>
      <c r="I72" s="202"/>
      <c r="J72" s="202"/>
      <c r="K72" s="202"/>
      <c r="L72" s="202"/>
      <c r="M72" s="44"/>
      <c r="N72" s="44"/>
      <c r="O72" s="44"/>
    </row>
    <row r="73" spans="1:16" ht="18" customHeight="1">
      <c r="A73" s="122" t="s">
        <v>227</v>
      </c>
      <c r="B73" s="122"/>
      <c r="C73" s="122"/>
      <c r="D73" s="122"/>
      <c r="E73" s="122"/>
      <c r="F73" s="122"/>
      <c r="G73" s="122"/>
      <c r="H73" s="202"/>
      <c r="I73" s="202"/>
      <c r="J73" s="202"/>
      <c r="K73" s="202"/>
      <c r="L73" s="202"/>
      <c r="M73" s="44"/>
      <c r="N73" s="44"/>
      <c r="O73" s="44"/>
    </row>
    <row r="74" spans="1:16" ht="15" customHeight="1">
      <c r="A74" s="122" t="s">
        <v>228</v>
      </c>
      <c r="B74" s="122"/>
      <c r="C74" s="122"/>
      <c r="D74" s="122"/>
      <c r="E74" s="122"/>
      <c r="F74" s="122"/>
      <c r="G74" s="122"/>
      <c r="H74" s="202"/>
      <c r="I74" s="202"/>
      <c r="J74" s="202"/>
      <c r="K74" s="202"/>
      <c r="L74" s="202"/>
      <c r="M74" s="44"/>
      <c r="N74" s="44"/>
      <c r="O74" s="44"/>
    </row>
    <row r="75" spans="1:16" ht="13.5" customHeight="1">
      <c r="A75" s="161" t="s">
        <v>229</v>
      </c>
      <c r="B75" s="161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120"/>
      <c r="O75" s="120"/>
    </row>
    <row r="76" spans="1:16" ht="15" customHeight="1">
      <c r="A76" s="122" t="s">
        <v>230</v>
      </c>
      <c r="B76" s="12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44"/>
      <c r="N76" s="44"/>
      <c r="O76" s="44"/>
    </row>
    <row r="77" spans="1:16" ht="16.5" customHeight="1">
      <c r="A77" s="122" t="s">
        <v>231</v>
      </c>
      <c r="B77" s="12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44"/>
      <c r="N77" s="44"/>
      <c r="O77" s="44"/>
    </row>
    <row r="78" spans="1:16" ht="17.25" customHeight="1">
      <c r="A78" s="119" t="s">
        <v>232</v>
      </c>
      <c r="B78" s="119"/>
      <c r="C78" s="119"/>
      <c r="D78" s="119"/>
      <c r="E78" s="119"/>
      <c r="F78" s="119"/>
      <c r="G78" s="119"/>
      <c r="H78" s="120"/>
      <c r="I78" s="120"/>
      <c r="J78" s="120"/>
      <c r="K78" s="120"/>
      <c r="L78" s="120"/>
      <c r="M78" s="120"/>
      <c r="N78" s="44"/>
      <c r="O78" s="44"/>
    </row>
    <row r="79" spans="1:16" ht="15" customHeight="1">
      <c r="L79" s="1"/>
      <c r="M79" s="1"/>
      <c r="N79" s="44"/>
    </row>
    <row r="80" spans="1:16" ht="15" customHeight="1">
      <c r="A80" s="203" t="s">
        <v>233</v>
      </c>
      <c r="B80" s="203" t="s">
        <v>146</v>
      </c>
      <c r="C80" s="203" t="s">
        <v>147</v>
      </c>
      <c r="D80" s="204" t="s">
        <v>148</v>
      </c>
      <c r="E80" s="203" t="s">
        <v>149</v>
      </c>
      <c r="F80" s="204" t="s">
        <v>150</v>
      </c>
      <c r="G80" s="203" t="s">
        <v>151</v>
      </c>
      <c r="H80" s="204" t="s">
        <v>234</v>
      </c>
      <c r="I80" s="203" t="s">
        <v>235</v>
      </c>
      <c r="J80" s="203" t="s">
        <v>236</v>
      </c>
      <c r="K80" s="203" t="s">
        <v>237</v>
      </c>
      <c r="L80" s="1"/>
      <c r="M80" s="1"/>
      <c r="N80" s="1"/>
    </row>
    <row r="81" spans="1:16" ht="15.75" customHeight="1">
      <c r="A81" s="205" t="s">
        <v>2</v>
      </c>
      <c r="B81" s="206" t="s">
        <v>238</v>
      </c>
      <c r="C81" s="207" t="s">
        <v>239</v>
      </c>
      <c r="D81" s="208" t="s">
        <v>240</v>
      </c>
      <c r="E81" s="207" t="s">
        <v>241</v>
      </c>
      <c r="F81" s="208" t="s">
        <v>242</v>
      </c>
      <c r="G81" s="207" t="s">
        <v>243</v>
      </c>
      <c r="H81" s="208" t="s">
        <v>244</v>
      </c>
      <c r="I81" s="209" t="s">
        <v>245</v>
      </c>
      <c r="J81" s="209" t="s">
        <v>246</v>
      </c>
      <c r="K81" s="210" t="s">
        <v>247</v>
      </c>
    </row>
    <row r="82" spans="1:16" ht="12.75" customHeight="1">
      <c r="A82" s="18" t="s">
        <v>10</v>
      </c>
      <c r="B82" s="19">
        <v>6.25</v>
      </c>
      <c r="C82" s="75">
        <v>9.4E-2</v>
      </c>
      <c r="D82" s="75">
        <v>0.02</v>
      </c>
      <c r="E82" s="75">
        <v>4.1033333333333326</v>
      </c>
      <c r="F82" s="75">
        <v>5.7735026918966474E-3</v>
      </c>
      <c r="G82" s="75">
        <v>3.4740000000000002</v>
      </c>
      <c r="H82" s="75">
        <v>2.4248711305964288E-2</v>
      </c>
      <c r="I82" s="77">
        <f t="shared" ref="I82:I88" si="3">B82/(C82*E82*G82)</f>
        <v>4.6642900728115837</v>
      </c>
      <c r="J82" s="77">
        <f t="shared" ref="J82:J88" si="4">I82*(0.01/B82+D82/C82+F82/E82+H82/G82)</f>
        <v>1.0389847930590685</v>
      </c>
      <c r="K82" s="77">
        <f t="shared" ref="K82:K89" si="5">100*J82/I82</f>
        <v>22.275303997823183</v>
      </c>
    </row>
    <row r="83" spans="1:16" ht="13.5" customHeight="1">
      <c r="A83" s="18" t="s">
        <v>12</v>
      </c>
      <c r="B83" s="19">
        <v>25.9</v>
      </c>
      <c r="C83" s="75">
        <v>0.64333333333333298</v>
      </c>
      <c r="D83" s="75">
        <v>3.1770006819849858E-2</v>
      </c>
      <c r="E83" s="75">
        <v>2.9513333333333329</v>
      </c>
      <c r="F83" s="75">
        <v>1.6289055630494296E-2</v>
      </c>
      <c r="G83" s="75">
        <v>2.2440000000000002</v>
      </c>
      <c r="H83" s="75">
        <v>7.211102550927862E-3</v>
      </c>
      <c r="I83" s="77">
        <f t="shared" si="3"/>
        <v>6.0788663387756969</v>
      </c>
      <c r="J83" s="77">
        <f t="shared" si="4"/>
        <v>0.3556273807429734</v>
      </c>
      <c r="K83" s="77">
        <f t="shared" si="5"/>
        <v>5.8502253697290199</v>
      </c>
      <c r="M83" s="211"/>
      <c r="N83" s="211"/>
      <c r="O83" s="186"/>
      <c r="P83" s="186"/>
    </row>
    <row r="84" spans="1:16" ht="12.75" customHeight="1">
      <c r="A84" s="18" t="s">
        <v>14</v>
      </c>
      <c r="B84" s="19">
        <v>20.85</v>
      </c>
      <c r="C84" s="75">
        <v>0.28666666666666663</v>
      </c>
      <c r="D84" s="75">
        <v>2E-3</v>
      </c>
      <c r="E84" s="75">
        <v>4.4000000000000004</v>
      </c>
      <c r="F84" s="75">
        <v>0.12000000000002299</v>
      </c>
      <c r="G84" s="75">
        <v>1.9559999999999997</v>
      </c>
      <c r="H84" s="75">
        <v>3.5042830935870496E-2</v>
      </c>
      <c r="I84" s="77">
        <f t="shared" si="3"/>
        <v>8.4509850970829739</v>
      </c>
      <c r="J84" s="77">
        <f t="shared" si="4"/>
        <v>0.44489911459474735</v>
      </c>
      <c r="K84" s="77">
        <f t="shared" si="5"/>
        <v>5.2644645503908549</v>
      </c>
    </row>
    <row r="85" spans="1:16" ht="12.75" customHeight="1">
      <c r="A85" s="18" t="s">
        <v>16</v>
      </c>
      <c r="B85" s="19">
        <v>6.2</v>
      </c>
      <c r="C85" s="75">
        <v>0.47599999999999998</v>
      </c>
      <c r="D85" s="75">
        <v>2.0000000000000018E-3</v>
      </c>
      <c r="E85" s="75">
        <v>4.1906666666666661</v>
      </c>
      <c r="F85" s="75">
        <v>3.0550504633039444E-3</v>
      </c>
      <c r="G85" s="75">
        <v>2.5393333333333334</v>
      </c>
      <c r="H85" s="75">
        <v>1.3012814197295549E-2</v>
      </c>
      <c r="I85" s="77">
        <f t="shared" si="3"/>
        <v>1.2240013746214562</v>
      </c>
      <c r="J85" s="77">
        <f t="shared" si="4"/>
        <v>1.4281766893745527E-2</v>
      </c>
      <c r="K85" s="77">
        <f t="shared" si="5"/>
        <v>1.1668097103373281</v>
      </c>
    </row>
    <row r="86" spans="1:16" ht="12.75" customHeight="1">
      <c r="A86" s="18" t="s">
        <v>18</v>
      </c>
      <c r="B86" s="19">
        <v>13.6</v>
      </c>
      <c r="C86" s="75">
        <v>0.29066666666666663</v>
      </c>
      <c r="D86" s="75">
        <v>2E-3</v>
      </c>
      <c r="E86" s="76">
        <v>8.2267839622004733</v>
      </c>
      <c r="F86" s="75">
        <v>2.0330302779823374E-2</v>
      </c>
      <c r="G86" s="75">
        <v>0.73133333333333328</v>
      </c>
      <c r="H86" s="75">
        <v>2E-3</v>
      </c>
      <c r="I86" s="77">
        <f t="shared" si="3"/>
        <v>7.7767514149061387</v>
      </c>
      <c r="J86" s="77">
        <f t="shared" si="4"/>
        <v>9.9713448191149301E-2</v>
      </c>
      <c r="K86" s="77">
        <f t="shared" si="5"/>
        <v>1.2821992483908242</v>
      </c>
    </row>
    <row r="87" spans="1:16" ht="12.75" customHeight="1">
      <c r="A87" s="18" t="s">
        <v>20</v>
      </c>
      <c r="B87" s="19">
        <v>9.6</v>
      </c>
      <c r="C87" s="75">
        <v>0.90066666666666662</v>
      </c>
      <c r="D87" s="75">
        <v>4.1633319989322695E-3</v>
      </c>
      <c r="E87" s="76">
        <v>4.6746898685416127</v>
      </c>
      <c r="F87" s="75">
        <v>6.4727330756907744E-3</v>
      </c>
      <c r="G87" s="75">
        <v>0.27466666666666667</v>
      </c>
      <c r="H87" s="75">
        <v>4.1633319989322687E-3</v>
      </c>
      <c r="I87" s="77">
        <f t="shared" si="3"/>
        <v>8.3013434494536291</v>
      </c>
      <c r="J87" s="77">
        <f t="shared" si="4"/>
        <v>0.18434430510121166</v>
      </c>
      <c r="K87" s="77">
        <f t="shared" si="5"/>
        <v>2.220656285620187</v>
      </c>
    </row>
    <row r="88" spans="1:16" ht="12.75" customHeight="1">
      <c r="A88" s="18" t="s">
        <v>248</v>
      </c>
      <c r="B88" s="19">
        <v>5.25</v>
      </c>
      <c r="C88" s="75">
        <v>2.3626666666666662</v>
      </c>
      <c r="D88" s="75">
        <v>6.1101009266077899E-3</v>
      </c>
      <c r="E88" s="76">
        <v>5.92</v>
      </c>
      <c r="F88" s="75">
        <v>1.5316656236958324E-2</v>
      </c>
      <c r="G88" s="75">
        <v>0.1486666666666667</v>
      </c>
      <c r="H88" s="75">
        <v>1.3316656236958324E-2</v>
      </c>
      <c r="I88" s="77">
        <f t="shared" si="3"/>
        <v>2.5247683569650081</v>
      </c>
      <c r="J88" s="77">
        <f t="shared" si="4"/>
        <v>0.24402406135881541</v>
      </c>
      <c r="K88" s="77">
        <f t="shared" si="5"/>
        <v>9.6652059459487845</v>
      </c>
    </row>
    <row r="89" spans="1:16" ht="12.75" customHeight="1">
      <c r="A89" s="74" t="s">
        <v>61</v>
      </c>
      <c r="B89" s="19">
        <v>25.91</v>
      </c>
      <c r="C89" s="196">
        <v>2.202</v>
      </c>
      <c r="D89" s="75">
        <v>4.0000000000000001E-3</v>
      </c>
      <c r="E89" s="76">
        <v>4.0999999999999996</v>
      </c>
      <c r="F89" s="76">
        <v>2E-3</v>
      </c>
      <c r="G89" s="76" t="s">
        <v>249</v>
      </c>
      <c r="H89" s="76" t="s">
        <v>249</v>
      </c>
      <c r="I89" s="77">
        <f>4*B89/(PI()*C89*E89*E89)</f>
        <v>0.89123555418193923</v>
      </c>
      <c r="J89" s="77">
        <f>I89*(0.01/B89+2*D89/C89+F89/E89)</f>
        <v>4.0166356374489905E-3</v>
      </c>
      <c r="K89" s="77">
        <f t="shared" si="5"/>
        <v>0.45068171019454456</v>
      </c>
    </row>
    <row r="90" spans="1:16" ht="15" customHeight="1">
      <c r="E90" s="108" t="s">
        <v>250</v>
      </c>
      <c r="F90" s="108"/>
      <c r="G90" s="180"/>
      <c r="H90" s="92"/>
    </row>
    <row r="91" spans="1:16" ht="15" customHeight="1">
      <c r="A91" s="62"/>
      <c r="E91" s="61"/>
      <c r="F91" s="61"/>
    </row>
    <row r="92" spans="1:16" ht="12.75" customHeight="1">
      <c r="A92" s="161" t="s">
        <v>251</v>
      </c>
      <c r="B92" s="161"/>
      <c r="C92" s="161"/>
      <c r="D92" s="212"/>
      <c r="E92" s="212"/>
      <c r="F92" s="69" t="s">
        <v>2</v>
      </c>
      <c r="G92" s="213" t="s">
        <v>252</v>
      </c>
      <c r="H92" s="214"/>
    </row>
    <row r="93" spans="1:16" ht="12.75" customHeight="1">
      <c r="A93" s="161" t="s">
        <v>253</v>
      </c>
      <c r="B93" s="44"/>
      <c r="C93" s="44"/>
      <c r="D93" s="44"/>
      <c r="E93" s="44"/>
      <c r="F93" s="215" t="s">
        <v>254</v>
      </c>
      <c r="G93" s="216">
        <v>11.2</v>
      </c>
    </row>
    <row r="94" spans="1:16" ht="12.75" customHeight="1">
      <c r="A94" s="161" t="s">
        <v>255</v>
      </c>
      <c r="B94" s="161"/>
      <c r="C94" s="161"/>
      <c r="D94" s="161"/>
      <c r="E94" s="44"/>
      <c r="F94" s="215" t="s">
        <v>256</v>
      </c>
      <c r="G94" s="216">
        <v>8.4</v>
      </c>
    </row>
    <row r="95" spans="1:16" ht="12.75" customHeight="1">
      <c r="C95" s="1"/>
      <c r="F95" s="215" t="s">
        <v>257</v>
      </c>
      <c r="G95" s="216">
        <v>7.8</v>
      </c>
    </row>
    <row r="96" spans="1:16" ht="12.75" customHeight="1">
      <c r="C96" s="1"/>
      <c r="F96" s="215" t="s">
        <v>258</v>
      </c>
      <c r="G96" s="216">
        <v>6.8</v>
      </c>
    </row>
    <row r="97" spans="1:7" ht="12.75" customHeight="1">
      <c r="F97" s="215" t="s">
        <v>259</v>
      </c>
      <c r="G97" s="216">
        <v>4.5</v>
      </c>
    </row>
    <row r="98" spans="1:7" ht="12.75" customHeight="1">
      <c r="F98" s="215" t="s">
        <v>260</v>
      </c>
      <c r="G98" s="216">
        <v>2.7</v>
      </c>
    </row>
    <row r="99" spans="1:7" ht="12.75" customHeight="1">
      <c r="F99" s="215" t="s">
        <v>261</v>
      </c>
      <c r="G99" s="217">
        <v>1.24</v>
      </c>
    </row>
    <row r="100" spans="1:7" ht="12.75" customHeight="1">
      <c r="A100" s="62"/>
      <c r="B100" s="218"/>
      <c r="F100" s="215" t="s">
        <v>262</v>
      </c>
      <c r="G100" s="216">
        <v>0.81</v>
      </c>
    </row>
    <row r="101" spans="1:7" ht="12.75" customHeight="1"/>
    <row r="102" spans="1:7" ht="12.75" customHeight="1">
      <c r="A102" s="55"/>
    </row>
    <row r="103" spans="1:7" ht="12.75" customHeight="1">
      <c r="A103" s="55"/>
    </row>
    <row r="104" spans="1:7" ht="12.75" customHeight="1"/>
    <row r="105" spans="1:7" ht="12.75" customHeight="1"/>
    <row r="106" spans="1:7" ht="12.75" customHeight="1"/>
    <row r="107" spans="1:7" ht="12.75" customHeight="1"/>
    <row r="108" spans="1:7" ht="12.75" customHeight="1"/>
    <row r="109" spans="1:7" ht="12.75" customHeight="1"/>
    <row r="110" spans="1:7" ht="12.75" customHeight="1"/>
    <row r="111" spans="1:7" ht="12.75" customHeight="1"/>
    <row r="112" spans="1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I68:P6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0"/>
  <sheetViews>
    <sheetView workbookViewId="0">
      <selection activeCell="O7" sqref="O7"/>
    </sheetView>
  </sheetViews>
  <sheetFormatPr baseColWidth="10" defaultColWidth="12.6640625" defaultRowHeight="15" customHeight="1"/>
  <cols>
    <col min="1" max="1" width="13.44140625" customWidth="1"/>
    <col min="2" max="2" width="11.33203125" customWidth="1"/>
    <col min="3" max="3" width="12.33203125" customWidth="1"/>
    <col min="4" max="4" width="9.21875" customWidth="1"/>
    <col min="5" max="5" width="13" customWidth="1"/>
    <col min="6" max="6" width="13.109375" customWidth="1"/>
    <col min="7" max="7" width="10.77734375" customWidth="1"/>
    <col min="8" max="8" width="7.109375" customWidth="1"/>
    <col min="9" max="9" width="9.33203125" customWidth="1"/>
    <col min="10" max="10" width="10" customWidth="1"/>
    <col min="11" max="11" width="3.44140625" customWidth="1"/>
    <col min="12" max="12" width="7.109375" customWidth="1"/>
    <col min="13" max="13" width="13.44140625" customWidth="1"/>
    <col min="14" max="26" width="10" customWidth="1"/>
  </cols>
  <sheetData>
    <row r="1" spans="1:20" ht="22.5" customHeight="1">
      <c r="C1" s="340" t="s">
        <v>263</v>
      </c>
      <c r="D1" s="330"/>
      <c r="E1" s="331"/>
      <c r="F1" s="219"/>
      <c r="G1" s="65" t="s">
        <v>78</v>
      </c>
      <c r="H1" s="16"/>
      <c r="I1" s="16"/>
      <c r="J1" s="16"/>
      <c r="K1" s="65"/>
      <c r="L1" s="65"/>
      <c r="M1" s="66"/>
      <c r="N1" s="100"/>
      <c r="O1" s="100"/>
      <c r="P1" s="220"/>
      <c r="Q1" s="100"/>
      <c r="R1" s="100"/>
      <c r="S1" s="100"/>
      <c r="T1" s="1"/>
    </row>
    <row r="2" spans="1:20" ht="15" customHeight="1">
      <c r="A2" s="221" t="s">
        <v>264</v>
      </c>
      <c r="C2" s="122" t="s">
        <v>265</v>
      </c>
      <c r="D2" s="44"/>
      <c r="E2" s="44"/>
      <c r="F2" s="44"/>
      <c r="G2" s="44"/>
      <c r="H2" s="44"/>
      <c r="I2" s="44"/>
    </row>
    <row r="3" spans="1:20" ht="15.75" customHeight="1">
      <c r="A3" s="108" t="s">
        <v>2</v>
      </c>
      <c r="B3" s="222" t="s">
        <v>266</v>
      </c>
      <c r="C3" s="223" t="s">
        <v>267</v>
      </c>
      <c r="D3" s="223" t="s">
        <v>268</v>
      </c>
      <c r="E3" s="224" t="s">
        <v>269</v>
      </c>
      <c r="F3" s="223" t="s">
        <v>270</v>
      </c>
      <c r="G3" s="225" t="s">
        <v>271</v>
      </c>
      <c r="H3" s="103" t="s">
        <v>272</v>
      </c>
      <c r="I3" s="103" t="s">
        <v>273</v>
      </c>
    </row>
    <row r="4" spans="1:20" ht="12.75" customHeight="1">
      <c r="A4" s="108" t="s">
        <v>274</v>
      </c>
      <c r="B4" s="226">
        <v>4.0322580645161299</v>
      </c>
      <c r="C4" s="227">
        <v>0.27819074333800842</v>
      </c>
      <c r="D4" s="228">
        <v>6.8991304347826077</v>
      </c>
      <c r="E4" s="226">
        <v>4.4642857142857135</v>
      </c>
      <c r="F4" s="227">
        <v>0.24231505102040812</v>
      </c>
      <c r="G4" s="228">
        <v>5.4278571428571434</v>
      </c>
      <c r="H4" s="19">
        <v>0.8</v>
      </c>
      <c r="I4" s="19">
        <v>0.95</v>
      </c>
    </row>
    <row r="5" spans="1:20" ht="12.75" customHeight="1">
      <c r="A5" s="108" t="s">
        <v>275</v>
      </c>
      <c r="B5" s="226">
        <v>6.3950617283950661</v>
      </c>
      <c r="C5" s="227">
        <v>0.35984023238925228</v>
      </c>
      <c r="D5" s="228">
        <v>5.6268453327276857</v>
      </c>
      <c r="E5" s="229">
        <v>3.6905101168424048</v>
      </c>
      <c r="F5" s="230">
        <v>3.2950424836805665E-2</v>
      </c>
      <c r="G5" s="228">
        <v>0.8928420135316687</v>
      </c>
      <c r="H5" s="19">
        <v>1.8</v>
      </c>
      <c r="I5" s="19">
        <v>1.95</v>
      </c>
    </row>
    <row r="6" spans="1:20" ht="12.75" customHeight="1">
      <c r="A6" s="108" t="s">
        <v>276</v>
      </c>
      <c r="B6" s="226">
        <v>9.6976744186046417</v>
      </c>
      <c r="C6" s="227">
        <v>0.60362517099863122</v>
      </c>
      <c r="D6" s="228">
        <v>6.2244322189307351</v>
      </c>
      <c r="E6" s="226">
        <v>13.717105263157896</v>
      </c>
      <c r="F6" s="227">
        <v>0.40275060595567874</v>
      </c>
      <c r="G6" s="228">
        <v>2.9361195254322858</v>
      </c>
      <c r="H6" s="19">
        <v>2.8</v>
      </c>
      <c r="I6" s="19">
        <v>2.95</v>
      </c>
    </row>
    <row r="7" spans="1:20" ht="12.75" customHeight="1">
      <c r="A7" s="108" t="s">
        <v>277</v>
      </c>
      <c r="B7" s="229">
        <v>1.1698113207547169</v>
      </c>
      <c r="C7" s="230">
        <v>6.557651991614255E-2</v>
      </c>
      <c r="D7" s="228">
        <v>5.6057347670250897</v>
      </c>
      <c r="E7" s="229">
        <v>1.180952380952381</v>
      </c>
      <c r="F7" s="230">
        <v>1.7482086167800455E-2</v>
      </c>
      <c r="G7" s="228">
        <v>1.4803379416282643</v>
      </c>
      <c r="H7" s="19">
        <v>3.8</v>
      </c>
      <c r="I7" s="19">
        <v>3.95</v>
      </c>
      <c r="O7" t="s">
        <v>536</v>
      </c>
    </row>
    <row r="8" spans="1:20" ht="12.75" customHeight="1">
      <c r="A8" s="108" t="s">
        <v>278</v>
      </c>
      <c r="B8" s="226">
        <v>7.2727272727272751</v>
      </c>
      <c r="C8" s="227">
        <v>0.46595365418894846</v>
      </c>
      <c r="D8" s="228">
        <v>6.4068627450980387</v>
      </c>
      <c r="E8" s="226">
        <v>8.7124819161752018</v>
      </c>
      <c r="F8" s="227">
        <v>0.25517773292593426</v>
      </c>
      <c r="G8" s="228">
        <v>2.9288753237143914</v>
      </c>
      <c r="H8" s="19">
        <v>4.8</v>
      </c>
      <c r="I8" s="19">
        <v>4.95</v>
      </c>
    </row>
    <row r="9" spans="1:20" ht="12.75" customHeight="1">
      <c r="A9" s="108" t="s">
        <v>279</v>
      </c>
      <c r="B9" s="226">
        <v>8.3478260869565197</v>
      </c>
      <c r="C9" s="227">
        <v>0.62250639386189255</v>
      </c>
      <c r="D9" s="228">
        <v>7.4571078431372566</v>
      </c>
      <c r="E9" s="226">
        <v>7.5451232280602225</v>
      </c>
      <c r="F9" s="227">
        <v>0.20067931919076837</v>
      </c>
      <c r="G9" s="228">
        <v>2.6597222222222214</v>
      </c>
      <c r="H9" s="19">
        <v>5.8</v>
      </c>
      <c r="I9" s="19">
        <v>5.95</v>
      </c>
    </row>
    <row r="10" spans="1:20" ht="12.75" customHeight="1">
      <c r="A10" s="108" t="s">
        <v>280</v>
      </c>
      <c r="B10" s="226">
        <v>2.625</v>
      </c>
      <c r="C10" s="227">
        <v>0.16713235294117648</v>
      </c>
      <c r="D10" s="228">
        <v>6.3669467787114851</v>
      </c>
      <c r="E10" s="226">
        <v>2.9226093055880282</v>
      </c>
      <c r="F10" s="227">
        <v>0.13413409073236535</v>
      </c>
      <c r="G10" s="228">
        <v>4.5895320484986142</v>
      </c>
      <c r="H10" s="19">
        <v>6.8</v>
      </c>
      <c r="I10" s="19">
        <v>6.95</v>
      </c>
    </row>
    <row r="11" spans="1:20" ht="12.75" customHeight="1">
      <c r="A11" s="108" t="s">
        <v>88</v>
      </c>
      <c r="B11" s="229">
        <v>0.83950617283950646</v>
      </c>
      <c r="C11" s="230">
        <v>5.1059289742417337E-2</v>
      </c>
      <c r="D11" s="228">
        <v>6.0820624546114752</v>
      </c>
      <c r="E11" s="231">
        <v>0.69916599720047368</v>
      </c>
      <c r="F11" s="232">
        <v>3.0139782480943502E-3</v>
      </c>
      <c r="G11" s="233">
        <v>0.43108192620387747</v>
      </c>
      <c r="H11" s="19">
        <v>7.8</v>
      </c>
      <c r="I11" s="19">
        <v>7.95</v>
      </c>
    </row>
    <row r="12" spans="1:20" ht="12.75" customHeight="1">
      <c r="A12" s="234"/>
      <c r="B12" s="235"/>
      <c r="C12" s="235"/>
      <c r="D12" s="235"/>
      <c r="E12" s="235"/>
      <c r="F12" s="235"/>
      <c r="G12" s="235"/>
      <c r="H12" s="111" t="s">
        <v>89</v>
      </c>
      <c r="I12" s="111" t="s">
        <v>89</v>
      </c>
    </row>
    <row r="13" spans="1:20" ht="12.75" customHeight="1">
      <c r="A13" s="161" t="s">
        <v>281</v>
      </c>
      <c r="B13" s="161"/>
      <c r="C13" s="161"/>
      <c r="D13" s="161"/>
      <c r="E13" s="44"/>
      <c r="F13" s="44"/>
      <c r="G13" s="44"/>
      <c r="H13" s="22" t="s">
        <v>90</v>
      </c>
      <c r="I13" s="22"/>
      <c r="J13" s="22"/>
      <c r="K13" s="16"/>
      <c r="L13" s="16"/>
    </row>
    <row r="14" spans="1:20" ht="10.5" customHeight="1">
      <c r="A14" s="61"/>
      <c r="B14" s="236"/>
      <c r="C14" s="236"/>
      <c r="D14" s="236"/>
      <c r="E14" s="236"/>
      <c r="F14" s="236"/>
      <c r="H14" s="38"/>
      <c r="I14" s="38"/>
    </row>
    <row r="15" spans="1:20" ht="12.75" customHeight="1">
      <c r="A15" s="62"/>
      <c r="H15" s="38"/>
      <c r="I15" s="38"/>
    </row>
    <row r="16" spans="1:20" ht="15" customHeight="1">
      <c r="A16" s="221" t="s">
        <v>282</v>
      </c>
      <c r="C16" s="122" t="s">
        <v>283</v>
      </c>
      <c r="D16" s="44"/>
      <c r="E16" s="1"/>
      <c r="H16" s="38"/>
      <c r="I16" s="38"/>
    </row>
    <row r="17" spans="1:14" ht="15.75" customHeight="1">
      <c r="A17" s="108" t="s">
        <v>2</v>
      </c>
      <c r="B17" s="224" t="s">
        <v>284</v>
      </c>
      <c r="C17" s="223" t="s">
        <v>285</v>
      </c>
      <c r="D17" s="223" t="s">
        <v>286</v>
      </c>
      <c r="E17" s="224" t="s">
        <v>287</v>
      </c>
      <c r="F17" s="223" t="s">
        <v>288</v>
      </c>
      <c r="G17" s="225" t="s">
        <v>289</v>
      </c>
      <c r="H17" s="103" t="s">
        <v>290</v>
      </c>
      <c r="I17" s="103" t="s">
        <v>291</v>
      </c>
    </row>
    <row r="18" spans="1:14" ht="12.75" customHeight="1">
      <c r="A18" s="108" t="s">
        <v>274</v>
      </c>
      <c r="B18" s="226">
        <v>3.9705398288347604</v>
      </c>
      <c r="C18" s="227">
        <v>0.14273160983478531</v>
      </c>
      <c r="D18" s="233">
        <v>3.5947658501809552</v>
      </c>
      <c r="E18" s="229">
        <v>4.6642900728115837</v>
      </c>
      <c r="F18" s="230">
        <v>1.0389847930590685</v>
      </c>
      <c r="G18" s="233">
        <v>22.275303997823183</v>
      </c>
      <c r="H18" s="19">
        <v>1.1000000000000001</v>
      </c>
      <c r="I18" s="19">
        <v>1.25</v>
      </c>
    </row>
    <row r="19" spans="1:14" ht="12.75" customHeight="1">
      <c r="A19" s="108" t="s">
        <v>275</v>
      </c>
      <c r="B19" s="226">
        <v>6.297178130511468</v>
      </c>
      <c r="C19" s="227">
        <v>0.16856793145110954</v>
      </c>
      <c r="D19" s="233">
        <v>2.6768804686396597</v>
      </c>
      <c r="E19" s="229">
        <v>6.0788663387756969</v>
      </c>
      <c r="F19" s="230">
        <v>0.3556273807429734</v>
      </c>
      <c r="G19" s="233">
        <v>5.8502253697290199</v>
      </c>
      <c r="H19" s="19">
        <v>2.1</v>
      </c>
      <c r="I19" s="19">
        <v>2.25</v>
      </c>
    </row>
    <row r="20" spans="1:14" ht="12.75" customHeight="1">
      <c r="A20" s="108" t="s">
        <v>276</v>
      </c>
      <c r="B20" s="226">
        <v>9.549240626483142</v>
      </c>
      <c r="C20" s="227">
        <v>0.29818816479252225</v>
      </c>
      <c r="D20" s="233">
        <v>3.1226374583707708</v>
      </c>
      <c r="E20" s="229">
        <v>8.4509850970829739</v>
      </c>
      <c r="F20" s="230">
        <v>0.44489911459474735</v>
      </c>
      <c r="G20" s="233">
        <v>5.2644645503908549</v>
      </c>
      <c r="H20" s="19">
        <v>3.1</v>
      </c>
      <c r="I20" s="19">
        <v>3.25</v>
      </c>
    </row>
    <row r="21" spans="1:14" ht="12.75" customHeight="1">
      <c r="A21" s="108" t="s">
        <v>277</v>
      </c>
      <c r="B21" s="226">
        <v>1.1519060454370427</v>
      </c>
      <c r="C21" s="227">
        <v>3.0906699905062101E-2</v>
      </c>
      <c r="D21" s="233">
        <v>2.6830920826824762</v>
      </c>
      <c r="E21" s="229">
        <v>1.2240013746214562</v>
      </c>
      <c r="F21" s="230">
        <v>1.4281766893745527E-2</v>
      </c>
      <c r="G21" s="233">
        <v>1.1668097103373281</v>
      </c>
      <c r="H21" s="19">
        <v>4.0999999999999996</v>
      </c>
      <c r="I21" s="19">
        <v>4.25</v>
      </c>
    </row>
    <row r="22" spans="1:14" ht="12.75" customHeight="1">
      <c r="A22" s="108" t="s">
        <v>278</v>
      </c>
      <c r="B22" s="226">
        <v>7.1614100185528775</v>
      </c>
      <c r="C22" s="227">
        <v>0.23543073832670197</v>
      </c>
      <c r="D22" s="233">
        <v>3.2874913978780396</v>
      </c>
      <c r="E22" s="229">
        <v>7.7767514149061387</v>
      </c>
      <c r="F22" s="230">
        <v>9.9713448191149301E-2</v>
      </c>
      <c r="G22" s="233">
        <v>1.2821992483908242</v>
      </c>
      <c r="H22" s="19">
        <v>5.0999999999999996</v>
      </c>
      <c r="I22" s="19">
        <v>5.25</v>
      </c>
    </row>
    <row r="23" spans="1:14" ht="12.75" customHeight="1">
      <c r="A23" s="108" t="s">
        <v>279</v>
      </c>
      <c r="B23" s="226">
        <v>8.2200532386867771</v>
      </c>
      <c r="C23" s="227">
        <v>0.32779438151557821</v>
      </c>
      <c r="D23" s="233">
        <v>3.9877403709850681</v>
      </c>
      <c r="E23" s="229">
        <v>8.3013434494536291</v>
      </c>
      <c r="F23" s="230">
        <v>0.18434430510121166</v>
      </c>
      <c r="G23" s="233">
        <v>2.220656285620187</v>
      </c>
      <c r="H23" s="19">
        <v>6.1</v>
      </c>
      <c r="I23" s="19">
        <v>6.25</v>
      </c>
    </row>
    <row r="24" spans="1:14" ht="12.75" customHeight="1">
      <c r="A24" s="108" t="s">
        <v>280</v>
      </c>
      <c r="B24" s="226">
        <v>2.5848214285714284</v>
      </c>
      <c r="C24" s="227">
        <v>8.620171282798833E-2</v>
      </c>
      <c r="D24" s="233">
        <v>3.3349194600119838</v>
      </c>
      <c r="E24" s="229">
        <v>2.5247683569650081</v>
      </c>
      <c r="F24" s="230">
        <v>0.24402406135881541</v>
      </c>
      <c r="G24" s="233">
        <v>9.6652059459487845</v>
      </c>
      <c r="H24" s="19">
        <v>7.1</v>
      </c>
      <c r="I24" s="19">
        <v>7.25</v>
      </c>
    </row>
    <row r="25" spans="1:14" ht="12.75" customHeight="1">
      <c r="A25" s="108" t="s">
        <v>61</v>
      </c>
      <c r="B25" s="226">
        <v>0.81787654320987691</v>
      </c>
      <c r="C25" s="227">
        <v>7.6866249314642282E-2</v>
      </c>
      <c r="D25" s="233">
        <v>9.3982704300296191</v>
      </c>
      <c r="E25" s="229">
        <v>0.89123555418193923</v>
      </c>
      <c r="F25" s="230">
        <v>4.0166356374489905E-3</v>
      </c>
      <c r="G25" s="233">
        <v>0.45068171019454456</v>
      </c>
      <c r="H25" s="19">
        <v>8.1</v>
      </c>
      <c r="I25" s="19">
        <v>8.25</v>
      </c>
      <c r="J25" s="55"/>
      <c r="K25" s="1"/>
      <c r="L25" s="1"/>
      <c r="M25" s="1"/>
      <c r="N25" s="1"/>
    </row>
    <row r="26" spans="1:14" ht="12.75" customHeight="1">
      <c r="A26" s="235"/>
      <c r="B26" s="235"/>
      <c r="C26" s="235"/>
      <c r="D26" s="235"/>
      <c r="E26" s="235"/>
      <c r="F26" s="235"/>
      <c r="G26" s="235"/>
      <c r="H26" s="111" t="s">
        <v>89</v>
      </c>
      <c r="I26" s="111" t="s">
        <v>89</v>
      </c>
    </row>
    <row r="27" spans="1:14" ht="12.75" customHeight="1">
      <c r="G27" s="22" t="s">
        <v>292</v>
      </c>
      <c r="H27" s="22"/>
      <c r="I27" s="22"/>
      <c r="J27" s="16"/>
      <c r="K27" s="16"/>
    </row>
    <row r="28" spans="1:14" ht="12.75" customHeight="1">
      <c r="G28" s="62"/>
      <c r="H28" s="62"/>
      <c r="I28" s="62"/>
      <c r="J28" s="1"/>
      <c r="K28" s="1"/>
    </row>
    <row r="29" spans="1:14" ht="13.5" customHeight="1">
      <c r="C29" s="237" t="s">
        <v>293</v>
      </c>
      <c r="D29" s="120"/>
      <c r="E29" s="120"/>
      <c r="F29" s="120"/>
      <c r="G29" s="120"/>
      <c r="H29" s="120"/>
      <c r="I29" s="1"/>
      <c r="J29" s="1"/>
    </row>
    <row r="30" spans="1:14" ht="13.5" customHeight="1">
      <c r="C30" s="237" t="s">
        <v>294</v>
      </c>
      <c r="D30" s="237"/>
      <c r="E30" s="237"/>
      <c r="F30" s="237"/>
      <c r="G30" s="120"/>
      <c r="H30" s="120"/>
      <c r="I30" s="1"/>
      <c r="J30" s="1"/>
    </row>
    <row r="31" spans="1:14" ht="13.5" customHeight="1">
      <c r="C31" s="238" t="s">
        <v>295</v>
      </c>
      <c r="D31" s="238"/>
      <c r="E31" s="239"/>
      <c r="F31" s="239"/>
      <c r="G31" s="240"/>
      <c r="H31" s="240"/>
      <c r="I31" s="1"/>
      <c r="J31" s="1"/>
    </row>
    <row r="32" spans="1:14" ht="13.5" customHeight="1">
      <c r="C32" s="241" t="s">
        <v>296</v>
      </c>
      <c r="D32" s="242"/>
      <c r="E32" s="242"/>
      <c r="F32" s="242"/>
      <c r="G32" s="242"/>
      <c r="H32" s="242"/>
      <c r="I32" s="243"/>
      <c r="J32" s="1"/>
    </row>
    <row r="33" spans="2:13" ht="13.5" customHeight="1">
      <c r="C33" s="241" t="s">
        <v>297</v>
      </c>
      <c r="D33" s="241"/>
      <c r="E33" s="241"/>
      <c r="F33" s="241"/>
      <c r="G33" s="241"/>
      <c r="H33" s="242"/>
      <c r="I33" s="243"/>
      <c r="J33" s="1"/>
    </row>
    <row r="34" spans="2:13" ht="13.5" customHeight="1">
      <c r="C34" s="244" t="s">
        <v>298</v>
      </c>
      <c r="D34" s="114"/>
      <c r="E34" s="96"/>
      <c r="F34" s="96"/>
      <c r="G34" s="96"/>
      <c r="H34" s="96"/>
      <c r="I34" s="92"/>
      <c r="J34" s="1"/>
    </row>
    <row r="35" spans="2:13" ht="13.5" customHeight="1">
      <c r="C35" s="244" t="s">
        <v>299</v>
      </c>
      <c r="D35" s="92"/>
      <c r="E35" s="92"/>
      <c r="F35" s="92"/>
      <c r="G35" s="92"/>
      <c r="H35" s="92"/>
      <c r="I35" s="92"/>
      <c r="J35" s="1"/>
    </row>
    <row r="36" spans="2:13" ht="13.5" customHeight="1">
      <c r="C36" s="114" t="s">
        <v>300</v>
      </c>
      <c r="D36" s="92"/>
      <c r="E36" s="92"/>
      <c r="F36" s="92"/>
      <c r="G36" s="92"/>
      <c r="H36" s="92"/>
      <c r="I36" s="92"/>
      <c r="J36" s="1"/>
    </row>
    <row r="37" spans="2:13" ht="12.75" customHeight="1"/>
    <row r="38" spans="2:13" ht="17.25" customHeight="1">
      <c r="B38" s="45" t="s">
        <v>301</v>
      </c>
      <c r="C38" s="46"/>
      <c r="D38" s="46"/>
      <c r="E38" s="245"/>
      <c r="F38" s="46"/>
      <c r="G38" s="46"/>
      <c r="H38" s="46"/>
      <c r="I38" s="60"/>
      <c r="J38" s="60"/>
      <c r="K38" s="60"/>
      <c r="L38" s="60"/>
      <c r="M38" s="1"/>
    </row>
    <row r="39" spans="2:13" ht="17.25" customHeight="1">
      <c r="B39" s="245" t="s">
        <v>302</v>
      </c>
      <c r="C39" s="245"/>
      <c r="D39" s="245"/>
      <c r="E39" s="46"/>
      <c r="F39" s="245"/>
      <c r="G39" s="245"/>
      <c r="H39" s="245"/>
      <c r="I39" s="60"/>
      <c r="J39" s="60"/>
      <c r="K39" s="60"/>
      <c r="L39" s="60"/>
      <c r="M39" s="1"/>
    </row>
    <row r="40" spans="2:13" ht="17.25" customHeight="1">
      <c r="B40" s="245" t="s">
        <v>303</v>
      </c>
      <c r="C40" s="245"/>
      <c r="D40" s="245"/>
      <c r="E40" s="245"/>
      <c r="F40" s="245"/>
      <c r="G40" s="16"/>
      <c r="H40" s="16"/>
    </row>
    <row r="41" spans="2:13" ht="12.75" customHeight="1"/>
    <row r="42" spans="2:13" ht="12.75" customHeight="1"/>
    <row r="43" spans="2:13" ht="12.75" customHeight="1"/>
    <row r="44" spans="2:13" ht="12.75" customHeight="1"/>
    <row r="45" spans="2:13" ht="12.75" customHeight="1"/>
    <row r="46" spans="2:13" ht="12.75" customHeight="1"/>
    <row r="47" spans="2:13" ht="12.75" customHeight="1"/>
    <row r="48" spans="2:1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1:E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00"/>
  <sheetViews>
    <sheetView topLeftCell="A28" workbookViewId="0"/>
  </sheetViews>
  <sheetFormatPr baseColWidth="10" defaultColWidth="12.6640625" defaultRowHeight="15" customHeight="1"/>
  <cols>
    <col min="1" max="1" width="10" customWidth="1"/>
    <col min="2" max="2" width="9.44140625" customWidth="1"/>
    <col min="3" max="4" width="9.6640625" customWidth="1"/>
    <col min="5" max="5" width="9.33203125" customWidth="1"/>
    <col min="6" max="6" width="7.6640625" customWidth="1"/>
    <col min="7" max="7" width="9.21875" customWidth="1"/>
    <col min="8" max="8" width="10.109375" customWidth="1"/>
    <col min="9" max="9" width="7.6640625" customWidth="1"/>
    <col min="10" max="10" width="1.44140625" customWidth="1"/>
    <col min="11" max="11" width="12.33203125" customWidth="1"/>
    <col min="12" max="12" width="13.77734375" customWidth="1"/>
    <col min="13" max="13" width="8.33203125" customWidth="1"/>
    <col min="14" max="14" width="7.88671875" customWidth="1"/>
    <col min="15" max="15" width="7.6640625" customWidth="1"/>
    <col min="16" max="16" width="18.109375" customWidth="1"/>
    <col min="17" max="26" width="10" customWidth="1"/>
  </cols>
  <sheetData>
    <row r="1" spans="1:16" ht="24" customHeight="1">
      <c r="C1" s="63" t="s">
        <v>304</v>
      </c>
      <c r="D1" s="246"/>
      <c r="E1" s="246"/>
      <c r="I1" s="4" t="s">
        <v>78</v>
      </c>
      <c r="J1" s="16"/>
      <c r="K1" s="16"/>
      <c r="L1" s="16"/>
      <c r="M1" s="16"/>
      <c r="N1" s="16"/>
      <c r="O1" s="16"/>
      <c r="P1" s="16"/>
    </row>
    <row r="2" spans="1:16" ht="14.25" customHeight="1">
      <c r="A2" s="247" t="s">
        <v>305</v>
      </c>
      <c r="B2" s="248" t="s">
        <v>306</v>
      </c>
      <c r="C2" s="68" t="s">
        <v>307</v>
      </c>
      <c r="D2" s="68" t="s">
        <v>308</v>
      </c>
      <c r="E2" s="68" t="s">
        <v>309</v>
      </c>
      <c r="F2" s="152" t="s">
        <v>310</v>
      </c>
      <c r="G2" s="152" t="s">
        <v>311</v>
      </c>
      <c r="H2" s="152" t="s">
        <v>312</v>
      </c>
      <c r="I2" s="249" t="s">
        <v>313</v>
      </c>
      <c r="K2" s="250" t="s">
        <v>314</v>
      </c>
      <c r="L2" s="251"/>
      <c r="M2" s="252" t="s">
        <v>315</v>
      </c>
      <c r="N2" s="253"/>
    </row>
    <row r="3" spans="1:16" ht="12.75" customHeight="1">
      <c r="A3" s="254" t="s">
        <v>316</v>
      </c>
      <c r="B3" s="255">
        <v>0</v>
      </c>
      <c r="C3" s="255" t="s">
        <v>136</v>
      </c>
      <c r="D3" s="255" t="s">
        <v>136</v>
      </c>
      <c r="E3" s="148">
        <v>0</v>
      </c>
      <c r="F3" s="148">
        <v>0</v>
      </c>
      <c r="G3" s="148" t="s">
        <v>136</v>
      </c>
      <c r="H3" s="148" t="s">
        <v>136</v>
      </c>
      <c r="I3" s="148" t="s">
        <v>136</v>
      </c>
    </row>
    <row r="4" spans="1:16" ht="15" customHeight="1">
      <c r="A4" s="256" t="s">
        <v>317</v>
      </c>
      <c r="B4" s="257">
        <v>0.8</v>
      </c>
      <c r="C4" s="257">
        <v>0.96</v>
      </c>
      <c r="D4" s="257">
        <v>1.34</v>
      </c>
      <c r="E4" s="258">
        <f t="shared" ref="E4:E9" si="0">(PI()/4)*(C4^2)*D4</f>
        <v>0.96992274949869839</v>
      </c>
      <c r="F4" s="153">
        <f t="shared" ref="F4:F9" si="1">E4*(0.02/C4+0.01/D4)</f>
        <v>2.7444953421760437E-2</v>
      </c>
      <c r="G4" s="259">
        <f t="shared" ref="G4:G9" si="2">B4/E4</f>
        <v>0.82480795549282415</v>
      </c>
      <c r="H4" s="259">
        <f t="shared" ref="H4:H9" si="3">G4*(0.1/B4+F4/E4)</f>
        <v>0.12643977675931664</v>
      </c>
      <c r="I4" s="260">
        <f t="shared" ref="I4:I9" si="4">100*H4/G4</f>
        <v>15.329601990049751</v>
      </c>
      <c r="K4" s="119" t="s">
        <v>318</v>
      </c>
      <c r="L4" s="237" t="s">
        <v>319</v>
      </c>
      <c r="M4" s="119"/>
      <c r="N4" s="44"/>
    </row>
    <row r="5" spans="1:16" ht="13.5" customHeight="1">
      <c r="A5" s="256" t="s">
        <v>320</v>
      </c>
      <c r="B5" s="257">
        <v>0.9</v>
      </c>
      <c r="C5" s="257">
        <v>0.96</v>
      </c>
      <c r="D5" s="257">
        <v>1.63</v>
      </c>
      <c r="E5" s="258">
        <f t="shared" si="0"/>
        <v>1.1798314042409539</v>
      </c>
      <c r="F5" s="153">
        <f t="shared" si="1"/>
        <v>3.1818050395557428E-2</v>
      </c>
      <c r="G5" s="259">
        <f t="shared" si="2"/>
        <v>0.76282085454321014</v>
      </c>
      <c r="H5" s="259">
        <f t="shared" si="3"/>
        <v>0.10532985640655013</v>
      </c>
      <c r="I5" s="260">
        <f t="shared" si="4"/>
        <v>13.807941376959786</v>
      </c>
      <c r="K5" s="261" t="s">
        <v>321</v>
      </c>
      <c r="L5" s="261"/>
      <c r="M5" s="119" t="s">
        <v>322</v>
      </c>
      <c r="N5" s="44"/>
    </row>
    <row r="6" spans="1:16" ht="13.5" customHeight="1">
      <c r="A6" s="256" t="s">
        <v>323</v>
      </c>
      <c r="B6" s="257">
        <v>1.4</v>
      </c>
      <c r="C6" s="257">
        <v>0.98</v>
      </c>
      <c r="D6" s="257">
        <v>2.4900000000000002</v>
      </c>
      <c r="E6" s="258">
        <f t="shared" si="0"/>
        <v>1.8781980263560041</v>
      </c>
      <c r="F6" s="153">
        <f t="shared" si="1"/>
        <v>4.5873535927718159E-2</v>
      </c>
      <c r="G6" s="153">
        <f t="shared" si="2"/>
        <v>0.74539530994834313</v>
      </c>
      <c r="H6" s="153">
        <f t="shared" si="3"/>
        <v>7.1448226783426549E-2</v>
      </c>
      <c r="I6" s="260">
        <f t="shared" si="4"/>
        <v>9.5852798950905669</v>
      </c>
      <c r="K6" s="262" t="s">
        <v>324</v>
      </c>
      <c r="L6" s="263" t="s">
        <v>325</v>
      </c>
      <c r="M6" s="119"/>
      <c r="N6" s="44"/>
    </row>
    <row r="7" spans="1:16" ht="13.5" customHeight="1">
      <c r="A7" s="256" t="s">
        <v>326</v>
      </c>
      <c r="B7" s="257">
        <v>1.6</v>
      </c>
      <c r="C7" s="257">
        <v>0.99</v>
      </c>
      <c r="D7" s="257">
        <v>3</v>
      </c>
      <c r="E7" s="258">
        <f t="shared" si="0"/>
        <v>2.3093062198375174</v>
      </c>
      <c r="F7" s="153">
        <f t="shared" si="1"/>
        <v>5.4350338305266831E-2</v>
      </c>
      <c r="G7" s="153">
        <f t="shared" si="2"/>
        <v>0.69284878127274774</v>
      </c>
      <c r="H7" s="153">
        <f t="shared" si="3"/>
        <v>5.9609489843339684E-2</v>
      </c>
      <c r="I7" s="260">
        <f t="shared" si="4"/>
        <v>8.6035353535353529</v>
      </c>
      <c r="K7" s="262" t="s">
        <v>327</v>
      </c>
      <c r="L7" s="264" t="s">
        <v>328</v>
      </c>
      <c r="M7" s="120"/>
      <c r="N7" s="44"/>
    </row>
    <row r="8" spans="1:16" ht="12.75" customHeight="1">
      <c r="A8" s="256" t="s">
        <v>329</v>
      </c>
      <c r="B8" s="257">
        <v>2.2000000000000002</v>
      </c>
      <c r="C8" s="257">
        <v>0.98</v>
      </c>
      <c r="D8" s="257">
        <v>3.98</v>
      </c>
      <c r="E8" s="258">
        <f t="shared" si="0"/>
        <v>3.0020996565850986</v>
      </c>
      <c r="F8" s="153">
        <f t="shared" si="1"/>
        <v>6.8810303891577232E-2</v>
      </c>
      <c r="G8" s="153">
        <f t="shared" si="2"/>
        <v>0.73282044291044945</v>
      </c>
      <c r="H8" s="153">
        <f t="shared" si="3"/>
        <v>5.0106796769610919E-2</v>
      </c>
      <c r="I8" s="260">
        <f t="shared" si="4"/>
        <v>6.8375271533921937</v>
      </c>
    </row>
    <row r="9" spans="1:16" ht="13.5" customHeight="1">
      <c r="A9" s="256" t="s">
        <v>330</v>
      </c>
      <c r="B9" s="257">
        <v>2.8</v>
      </c>
      <c r="C9" s="257">
        <v>0.97</v>
      </c>
      <c r="D9" s="257">
        <v>5.17</v>
      </c>
      <c r="E9" s="258">
        <f t="shared" si="0"/>
        <v>3.8205324521332074</v>
      </c>
      <c r="F9" s="153">
        <f t="shared" si="1"/>
        <v>8.6163676311843865E-2</v>
      </c>
      <c r="G9" s="153">
        <f t="shared" si="2"/>
        <v>0.7328821401416471</v>
      </c>
      <c r="H9" s="153">
        <f t="shared" si="3"/>
        <v>4.2702901111807634E-2</v>
      </c>
      <c r="I9" s="260">
        <f t="shared" si="4"/>
        <v>5.8267078392105818</v>
      </c>
      <c r="K9" s="265" t="s">
        <v>331</v>
      </c>
      <c r="L9" s="265"/>
      <c r="M9" s="265"/>
      <c r="N9" s="265"/>
      <c r="O9" s="119"/>
      <c r="P9" s="120"/>
    </row>
    <row r="10" spans="1:16" ht="12.75" customHeight="1">
      <c r="B10" s="38" t="s">
        <v>332</v>
      </c>
      <c r="C10" s="38" t="s">
        <v>332</v>
      </c>
      <c r="D10" s="38" t="s">
        <v>332</v>
      </c>
      <c r="E10" s="38" t="s">
        <v>332</v>
      </c>
      <c r="F10" s="38" t="s">
        <v>332</v>
      </c>
      <c r="G10" s="38" t="s">
        <v>332</v>
      </c>
      <c r="H10" s="38" t="s">
        <v>332</v>
      </c>
      <c r="I10" s="38" t="s">
        <v>332</v>
      </c>
      <c r="K10" s="161" t="s">
        <v>333</v>
      </c>
      <c r="L10" s="161"/>
      <c r="M10" s="161"/>
      <c r="N10" s="161"/>
      <c r="O10" s="161"/>
      <c r="P10" s="44"/>
    </row>
    <row r="11" spans="1:16" ht="14.25" customHeight="1">
      <c r="A11" s="254" t="s">
        <v>334</v>
      </c>
      <c r="B11" s="248" t="s">
        <v>335</v>
      </c>
      <c r="C11" s="68" t="s">
        <v>336</v>
      </c>
      <c r="D11" s="68" t="s">
        <v>337</v>
      </c>
      <c r="E11" s="68" t="s">
        <v>338</v>
      </c>
      <c r="F11" s="152" t="s">
        <v>339</v>
      </c>
      <c r="G11" s="152" t="s">
        <v>340</v>
      </c>
      <c r="H11" s="152" t="s">
        <v>341</v>
      </c>
      <c r="I11" s="249" t="s">
        <v>342</v>
      </c>
      <c r="K11" s="161" t="s">
        <v>343</v>
      </c>
      <c r="L11" s="161"/>
      <c r="M11" s="161"/>
      <c r="N11" s="161"/>
      <c r="O11" s="161"/>
      <c r="P11" s="44"/>
    </row>
    <row r="12" spans="1:16" ht="12.75" customHeight="1">
      <c r="A12" s="266" t="s">
        <v>344</v>
      </c>
      <c r="B12" s="255">
        <v>0</v>
      </c>
      <c r="C12" s="255" t="s">
        <v>136</v>
      </c>
      <c r="D12" s="255" t="s">
        <v>136</v>
      </c>
      <c r="E12" s="148">
        <v>0</v>
      </c>
      <c r="F12" s="148">
        <v>0</v>
      </c>
      <c r="G12" s="148" t="s">
        <v>136</v>
      </c>
      <c r="H12" s="148" t="s">
        <v>136</v>
      </c>
      <c r="I12" s="148" t="s">
        <v>136</v>
      </c>
      <c r="K12" s="161"/>
      <c r="L12" s="161"/>
      <c r="M12" s="161"/>
      <c r="N12" s="161"/>
      <c r="O12" s="161"/>
      <c r="P12" s="44"/>
    </row>
    <row r="13" spans="1:16" ht="12.75" customHeight="1">
      <c r="A13" s="256" t="s">
        <v>345</v>
      </c>
      <c r="B13" s="257">
        <v>0.8</v>
      </c>
      <c r="C13" s="257">
        <v>0.98</v>
      </c>
      <c r="D13" s="257">
        <v>0.88</v>
      </c>
      <c r="E13" s="153">
        <f t="shared" ref="E13:E18" si="5">(PI()/4)*(C13^2)*D13</f>
        <v>0.66378082859168008</v>
      </c>
      <c r="F13" s="153">
        <f t="shared" ref="F13:F18" si="6">E13*(0.02/C13+0.01/D13)</f>
        <v>2.1089511483548276E-2</v>
      </c>
      <c r="G13" s="259">
        <f t="shared" ref="G13:G18" si="7">B13/E13</f>
        <v>1.2052170920593341</v>
      </c>
      <c r="H13" s="259">
        <f t="shared" ref="H13:H18" si="8">G13*(0.1/B13+F13/E13)</f>
        <v>0.18894405246570267</v>
      </c>
      <c r="I13" s="260">
        <f t="shared" ref="I13:I18" si="9">100*H13/G13</f>
        <v>15.677179962894249</v>
      </c>
      <c r="K13" s="161" t="s">
        <v>346</v>
      </c>
      <c r="L13" s="44"/>
    </row>
    <row r="14" spans="1:16" ht="12.75" customHeight="1">
      <c r="A14" s="256" t="s">
        <v>347</v>
      </c>
      <c r="B14" s="257">
        <v>1.7</v>
      </c>
      <c r="C14" s="257">
        <v>0.98</v>
      </c>
      <c r="D14" s="257">
        <v>1.8</v>
      </c>
      <c r="E14" s="153">
        <f t="shared" si="5"/>
        <v>1.3577335130284367</v>
      </c>
      <c r="F14" s="153">
        <f t="shared" si="6"/>
        <v>3.5251811165931068E-2</v>
      </c>
      <c r="G14" s="259">
        <f t="shared" si="7"/>
        <v>1.2520866456394193</v>
      </c>
      <c r="H14" s="259">
        <f t="shared" si="8"/>
        <v>0.10616098123258597</v>
      </c>
      <c r="I14" s="260">
        <f t="shared" si="9"/>
        <v>8.47872482326264</v>
      </c>
    </row>
    <row r="15" spans="1:16" ht="12.75" customHeight="1">
      <c r="A15" s="256" t="s">
        <v>348</v>
      </c>
      <c r="B15" s="257">
        <v>2.2999999999999998</v>
      </c>
      <c r="C15" s="257">
        <v>0.98</v>
      </c>
      <c r="D15" s="257">
        <v>2.52</v>
      </c>
      <c r="E15" s="153">
        <f t="shared" si="5"/>
        <v>1.9008269182398112</v>
      </c>
      <c r="F15" s="153">
        <f t="shared" si="6"/>
        <v>4.6335350047795855E-2</v>
      </c>
      <c r="G15" s="196">
        <f t="shared" si="7"/>
        <v>1.209999699567506</v>
      </c>
      <c r="H15" s="196">
        <f t="shared" si="8"/>
        <v>8.2104140119031457E-2</v>
      </c>
      <c r="I15" s="260">
        <f t="shared" si="9"/>
        <v>6.7854678103125314</v>
      </c>
      <c r="K15" s="161" t="s">
        <v>349</v>
      </c>
      <c r="L15" s="161"/>
      <c r="M15" s="161"/>
      <c r="N15" s="161"/>
      <c r="O15" s="161"/>
      <c r="P15" s="44"/>
    </row>
    <row r="16" spans="1:16" ht="12.75" customHeight="1">
      <c r="A16" s="256" t="s">
        <v>350</v>
      </c>
      <c r="B16" s="257">
        <v>2.8</v>
      </c>
      <c r="C16" s="257">
        <v>0.98</v>
      </c>
      <c r="D16" s="257">
        <v>3.1</v>
      </c>
      <c r="E16" s="153">
        <f t="shared" si="5"/>
        <v>2.3383188279934188</v>
      </c>
      <c r="F16" s="34">
        <f t="shared" si="6"/>
        <v>5.5263756369298055E-2</v>
      </c>
      <c r="G16" s="258">
        <f t="shared" si="7"/>
        <v>1.1974414979170156</v>
      </c>
      <c r="H16" s="34">
        <f t="shared" si="8"/>
        <v>7.1066063882303465E-2</v>
      </c>
      <c r="I16" s="35">
        <f t="shared" si="9"/>
        <v>5.9348255431204748</v>
      </c>
      <c r="J16" s="1"/>
      <c r="K16" s="161" t="s">
        <v>351</v>
      </c>
      <c r="L16" s="161"/>
      <c r="M16" s="161"/>
      <c r="N16" s="161"/>
      <c r="O16" s="161"/>
      <c r="P16" s="44"/>
    </row>
    <row r="17" spans="1:19" ht="13.5" customHeight="1">
      <c r="A17" s="256" t="s">
        <v>352</v>
      </c>
      <c r="B17" s="257">
        <v>3.4</v>
      </c>
      <c r="C17" s="257">
        <v>0.98</v>
      </c>
      <c r="D17" s="257">
        <v>3.66</v>
      </c>
      <c r="E17" s="153">
        <f t="shared" si="5"/>
        <v>2.7607248098244881</v>
      </c>
      <c r="F17" s="153">
        <f t="shared" si="6"/>
        <v>6.388428661074845E-2</v>
      </c>
      <c r="G17" s="153">
        <f t="shared" si="7"/>
        <v>1.2315606350551664</v>
      </c>
      <c r="H17" s="153">
        <f t="shared" si="8"/>
        <v>6.4721181898509825E-2</v>
      </c>
      <c r="I17" s="260">
        <f t="shared" si="9"/>
        <v>5.2552168408346951</v>
      </c>
      <c r="J17" s="267"/>
    </row>
    <row r="18" spans="1:19" ht="12.75" customHeight="1">
      <c r="A18" s="256" t="s">
        <v>353</v>
      </c>
      <c r="B18" s="257">
        <v>3.9</v>
      </c>
      <c r="C18" s="257">
        <v>0.98</v>
      </c>
      <c r="D18" s="257">
        <v>4.2699999999999996</v>
      </c>
      <c r="E18" s="153">
        <f t="shared" si="5"/>
        <v>3.2208456114619022</v>
      </c>
      <c r="F18" s="153">
        <f t="shared" si="6"/>
        <v>7.3274507052328325E-2</v>
      </c>
      <c r="G18" s="153">
        <f t="shared" si="7"/>
        <v>1.2108621369870125</v>
      </c>
      <c r="H18" s="153">
        <f t="shared" si="8"/>
        <v>5.859496199521097E-2</v>
      </c>
      <c r="I18" s="260">
        <f t="shared" si="9"/>
        <v>4.839110928103902</v>
      </c>
    </row>
    <row r="19" spans="1:19" ht="12.75" customHeight="1">
      <c r="A19" s="24"/>
      <c r="B19" s="38" t="s">
        <v>332</v>
      </c>
      <c r="C19" s="38" t="s">
        <v>332</v>
      </c>
      <c r="D19" s="38" t="s">
        <v>332</v>
      </c>
      <c r="E19" s="80" t="s">
        <v>332</v>
      </c>
      <c r="F19" s="80" t="s">
        <v>332</v>
      </c>
      <c r="G19" s="38" t="s">
        <v>332</v>
      </c>
      <c r="H19" s="38" t="s">
        <v>332</v>
      </c>
      <c r="I19" s="38" t="s">
        <v>332</v>
      </c>
    </row>
    <row r="20" spans="1:19" ht="15" customHeight="1">
      <c r="A20" s="254" t="s">
        <v>354</v>
      </c>
      <c r="B20" s="248" t="s">
        <v>355</v>
      </c>
      <c r="C20" s="68" t="s">
        <v>356</v>
      </c>
      <c r="D20" s="68" t="s">
        <v>357</v>
      </c>
      <c r="E20" s="268" t="s">
        <v>358</v>
      </c>
      <c r="F20" s="269" t="s">
        <v>359</v>
      </c>
      <c r="G20" s="152" t="s">
        <v>360</v>
      </c>
      <c r="H20" s="152" t="s">
        <v>361</v>
      </c>
      <c r="I20" s="249" t="s">
        <v>362</v>
      </c>
      <c r="K20" s="122" t="s">
        <v>251</v>
      </c>
      <c r="L20" s="122"/>
      <c r="M20" s="122"/>
      <c r="N20" s="270"/>
      <c r="O20" s="270"/>
      <c r="P20" s="44"/>
    </row>
    <row r="21" spans="1:19" ht="15" customHeight="1">
      <c r="A21" s="266" t="s">
        <v>363</v>
      </c>
      <c r="B21" s="255">
        <v>0</v>
      </c>
      <c r="C21" s="255" t="s">
        <v>136</v>
      </c>
      <c r="D21" s="255" t="s">
        <v>136</v>
      </c>
      <c r="E21" s="23">
        <v>0</v>
      </c>
      <c r="F21" s="23">
        <v>0</v>
      </c>
      <c r="G21" s="148" t="s">
        <v>136</v>
      </c>
      <c r="H21" s="148" t="s">
        <v>136</v>
      </c>
      <c r="I21" s="148" t="s">
        <v>136</v>
      </c>
      <c r="K21" s="122" t="s">
        <v>364</v>
      </c>
      <c r="L21" s="202"/>
      <c r="M21" s="202"/>
      <c r="N21" s="202"/>
      <c r="O21" s="202"/>
      <c r="P21" s="44"/>
    </row>
    <row r="22" spans="1:19" ht="15" customHeight="1">
      <c r="A22" s="256" t="s">
        <v>365</v>
      </c>
      <c r="B22" s="257">
        <v>3</v>
      </c>
      <c r="C22" s="257">
        <v>0.96</v>
      </c>
      <c r="D22" s="257">
        <v>1.44</v>
      </c>
      <c r="E22" s="153">
        <f t="shared" ref="E22:E27" si="10">(PI()/4)*(C22^2)*D22</f>
        <v>1.0423050442374071</v>
      </c>
      <c r="F22" s="153">
        <f t="shared" ref="F22:F27" si="11">E22*(0.02/C22+0.01/D22)</f>
        <v>2.8952917895483533E-2</v>
      </c>
      <c r="G22" s="259">
        <f t="shared" ref="G22:G27" si="12">B22/E22</f>
        <v>2.8782360946885013</v>
      </c>
      <c r="H22" s="259">
        <f t="shared" ref="H22:H27" si="13">G22*(0.1/B22+F22/E22)</f>
        <v>0.17589220578651954</v>
      </c>
      <c r="I22" s="260">
        <f t="shared" ref="I22:I27" si="14">100*H22/G22</f>
        <v>6.1111111111111116</v>
      </c>
      <c r="K22" s="122" t="s">
        <v>255</v>
      </c>
      <c r="L22" s="122"/>
      <c r="M22" s="122"/>
      <c r="N22" s="122"/>
      <c r="O22" s="202"/>
      <c r="P22" s="44"/>
    </row>
    <row r="23" spans="1:19" ht="12.75" customHeight="1">
      <c r="A23" s="256" t="s">
        <v>366</v>
      </c>
      <c r="B23" s="257">
        <v>4.3</v>
      </c>
      <c r="C23" s="257">
        <v>0.96</v>
      </c>
      <c r="D23" s="257">
        <v>2.1</v>
      </c>
      <c r="E23" s="153">
        <f t="shared" si="10"/>
        <v>1.5200281895128855</v>
      </c>
      <c r="F23" s="153">
        <f t="shared" si="11"/>
        <v>3.8905483422056006E-2</v>
      </c>
      <c r="G23" s="259">
        <f t="shared" si="12"/>
        <v>2.8288949044938407</v>
      </c>
      <c r="H23" s="259">
        <f t="shared" si="13"/>
        <v>0.13819449221980573</v>
      </c>
      <c r="I23" s="260">
        <f t="shared" si="14"/>
        <v>4.885105204872648</v>
      </c>
    </row>
    <row r="24" spans="1:19" ht="15" customHeight="1">
      <c r="A24" s="256" t="s">
        <v>367</v>
      </c>
      <c r="B24" s="257">
        <v>6.1</v>
      </c>
      <c r="C24" s="257">
        <v>0.96</v>
      </c>
      <c r="D24" s="257">
        <v>2.97</v>
      </c>
      <c r="E24" s="153">
        <f t="shared" si="10"/>
        <v>2.1497541537396523</v>
      </c>
      <c r="F24" s="153">
        <f t="shared" si="11"/>
        <v>5.2024774343446975E-2</v>
      </c>
      <c r="G24" s="259">
        <f t="shared" si="12"/>
        <v>2.8375337660767443</v>
      </c>
      <c r="H24" s="259">
        <f t="shared" si="13"/>
        <v>0.1151862195224963</v>
      </c>
      <c r="I24" s="260">
        <f t="shared" si="14"/>
        <v>4.0593779323287515</v>
      </c>
      <c r="L24" s="271"/>
      <c r="M24" s="271"/>
      <c r="N24" s="272"/>
      <c r="O24" s="6"/>
      <c r="P24" s="6"/>
      <c r="Q24" s="272"/>
      <c r="R24" s="6"/>
      <c r="S24" s="6"/>
    </row>
    <row r="25" spans="1:19" ht="12.75" customHeight="1">
      <c r="A25" s="273" t="s">
        <v>368</v>
      </c>
      <c r="B25" s="274">
        <v>7.4</v>
      </c>
      <c r="C25" s="274">
        <v>0.96</v>
      </c>
      <c r="D25" s="274">
        <v>3.61</v>
      </c>
      <c r="E25" s="275">
        <f t="shared" si="10"/>
        <v>2.6130008400673885</v>
      </c>
      <c r="F25" s="275">
        <f t="shared" si="11"/>
        <v>6.1675746975274823E-2</v>
      </c>
      <c r="G25" s="276">
        <f t="shared" si="12"/>
        <v>2.831992966297384</v>
      </c>
      <c r="H25" s="276">
        <f t="shared" si="13"/>
        <v>0.10511488454708338</v>
      </c>
      <c r="I25" s="277">
        <f t="shared" si="14"/>
        <v>3.7116929949339927</v>
      </c>
    </row>
    <row r="26" spans="1:19" ht="12.75" customHeight="1">
      <c r="A26" s="256" t="s">
        <v>369</v>
      </c>
      <c r="B26" s="257">
        <v>8.6</v>
      </c>
      <c r="C26" s="257">
        <v>0.96</v>
      </c>
      <c r="D26" s="257">
        <v>4.24</v>
      </c>
      <c r="E26" s="153">
        <f t="shared" si="10"/>
        <v>3.0690092969212546</v>
      </c>
      <c r="F26" s="153">
        <f t="shared" si="11"/>
        <v>7.1175923159730356E-2</v>
      </c>
      <c r="G26" s="153">
        <f t="shared" si="12"/>
        <v>2.8022072167155967</v>
      </c>
      <c r="H26" s="153">
        <f t="shared" si="13"/>
        <v>9.7572101145145057E-2</v>
      </c>
      <c r="I26" s="278">
        <f t="shared" si="14"/>
        <v>3.4819730876115256</v>
      </c>
      <c r="J26" s="279"/>
    </row>
    <row r="27" spans="1:19" ht="12.75" customHeight="1">
      <c r="A27" s="280" t="s">
        <v>370</v>
      </c>
      <c r="B27" s="281">
        <v>10</v>
      </c>
      <c r="C27" s="281">
        <v>0.96</v>
      </c>
      <c r="D27" s="281">
        <v>4.8899999999999997</v>
      </c>
      <c r="E27" s="282">
        <f t="shared" si="10"/>
        <v>3.5394942127228615</v>
      </c>
      <c r="F27" s="282">
        <f t="shared" si="11"/>
        <v>8.0977692238930504E-2</v>
      </c>
      <c r="G27" s="282">
        <f t="shared" si="12"/>
        <v>2.8252624242341118</v>
      </c>
      <c r="H27" s="282">
        <f t="shared" si="13"/>
        <v>9.2889890849946699E-2</v>
      </c>
      <c r="I27" s="283">
        <f t="shared" si="14"/>
        <v>3.287832310838446</v>
      </c>
    </row>
    <row r="28" spans="1:19" ht="12.75" customHeight="1">
      <c r="A28" s="38"/>
      <c r="B28" s="38" t="s">
        <v>332</v>
      </c>
      <c r="C28" s="38" t="s">
        <v>332</v>
      </c>
      <c r="D28" s="38" t="s">
        <v>332</v>
      </c>
      <c r="E28" s="80" t="s">
        <v>332</v>
      </c>
      <c r="F28" s="38" t="s">
        <v>332</v>
      </c>
      <c r="G28" s="38" t="s">
        <v>332</v>
      </c>
      <c r="H28" s="80" t="s">
        <v>332</v>
      </c>
      <c r="I28" s="284" t="s">
        <v>332</v>
      </c>
    </row>
    <row r="29" spans="1:19" ht="14.25" customHeight="1">
      <c r="A29" s="254" t="s">
        <v>371</v>
      </c>
      <c r="B29" s="248" t="s">
        <v>372</v>
      </c>
      <c r="C29" s="68" t="s">
        <v>373</v>
      </c>
      <c r="D29" s="68" t="s">
        <v>374</v>
      </c>
      <c r="E29" s="268" t="s">
        <v>375</v>
      </c>
      <c r="F29" s="152" t="s">
        <v>376</v>
      </c>
      <c r="G29" s="152" t="s">
        <v>377</v>
      </c>
      <c r="H29" s="269" t="s">
        <v>378</v>
      </c>
      <c r="I29" s="285" t="s">
        <v>379</v>
      </c>
    </row>
    <row r="30" spans="1:19" ht="12.75" customHeight="1">
      <c r="A30" s="266" t="s">
        <v>380</v>
      </c>
      <c r="B30" s="255">
        <v>0</v>
      </c>
      <c r="C30" s="255" t="s">
        <v>136</v>
      </c>
      <c r="D30" s="255" t="s">
        <v>136</v>
      </c>
      <c r="E30" s="23">
        <v>0</v>
      </c>
      <c r="F30" s="148">
        <v>0</v>
      </c>
      <c r="G30" s="148" t="s">
        <v>136</v>
      </c>
      <c r="H30" s="23" t="s">
        <v>136</v>
      </c>
      <c r="I30" s="21" t="s">
        <v>136</v>
      </c>
    </row>
    <row r="31" spans="1:19" ht="12.75" customHeight="1">
      <c r="A31" s="256" t="s">
        <v>381</v>
      </c>
      <c r="B31" s="257">
        <v>3.9</v>
      </c>
      <c r="C31" s="257">
        <v>0.99</v>
      </c>
      <c r="D31" s="257">
        <v>1.1100000000000001</v>
      </c>
      <c r="E31" s="153">
        <f t="shared" ref="E31:E35" si="15">(PI()/4)*(C31^2)*D31</f>
        <v>0.85444330133988144</v>
      </c>
      <c r="F31" s="153">
        <f t="shared" ref="F31:F35" si="16">E31*(0.02/C31+0.01/D31)</f>
        <v>2.4959168234607514E-2</v>
      </c>
      <c r="G31" s="259">
        <f t="shared" ref="G31:G35" si="17">B31/E31</f>
        <v>4.5643754171684394</v>
      </c>
      <c r="H31" s="259">
        <f t="shared" ref="H31:H35" si="18">G31*(0.1/B31+F31/E31)</f>
        <v>0.250365370747894</v>
      </c>
      <c r="I31" s="260">
        <f t="shared" ref="I31:I35" si="19">100*H31/G31</f>
        <v>5.4852054852054852</v>
      </c>
    </row>
    <row r="32" spans="1:19" ht="12.75" customHeight="1">
      <c r="A32" s="256" t="s">
        <v>382</v>
      </c>
      <c r="B32" s="257">
        <v>6.1</v>
      </c>
      <c r="C32" s="257">
        <v>0.99</v>
      </c>
      <c r="D32" s="257">
        <v>1.77</v>
      </c>
      <c r="E32" s="153">
        <f t="shared" si="15"/>
        <v>1.3624906697041352</v>
      </c>
      <c r="F32" s="153">
        <f t="shared" si="16"/>
        <v>3.5222751433885369E-2</v>
      </c>
      <c r="G32" s="259">
        <f t="shared" si="17"/>
        <v>4.4770948789870353</v>
      </c>
      <c r="H32" s="259">
        <f t="shared" si="18"/>
        <v>0.18913568055804741</v>
      </c>
      <c r="I32" s="260">
        <f t="shared" si="19"/>
        <v>4.2245180339095318</v>
      </c>
    </row>
    <row r="33" spans="1:16" ht="12.75" customHeight="1">
      <c r="A33" s="256" t="s">
        <v>383</v>
      </c>
      <c r="B33" s="257">
        <v>9.6</v>
      </c>
      <c r="C33" s="257">
        <v>0.99</v>
      </c>
      <c r="D33" s="257">
        <v>2.72</v>
      </c>
      <c r="E33" s="153">
        <f t="shared" si="15"/>
        <v>2.0937709726526825</v>
      </c>
      <c r="F33" s="153">
        <f t="shared" si="16"/>
        <v>4.9996090887391376E-2</v>
      </c>
      <c r="G33" s="259">
        <f t="shared" si="17"/>
        <v>4.5850286995990652</v>
      </c>
      <c r="H33" s="259">
        <f t="shared" si="18"/>
        <v>0.15724428119725703</v>
      </c>
      <c r="I33" s="260">
        <f t="shared" si="19"/>
        <v>3.4295157456922167</v>
      </c>
    </row>
    <row r="34" spans="1:16" ht="12.75" customHeight="1">
      <c r="A34" s="256" t="s">
        <v>384</v>
      </c>
      <c r="B34" s="274">
        <v>12.1</v>
      </c>
      <c r="C34" s="274">
        <v>0.99</v>
      </c>
      <c r="D34" s="274">
        <v>3.49</v>
      </c>
      <c r="E34" s="275">
        <f t="shared" si="15"/>
        <v>2.6864929024109783</v>
      </c>
      <c r="F34" s="275">
        <f t="shared" si="16"/>
        <v>6.1970271286548868E-2</v>
      </c>
      <c r="G34" s="276">
        <f t="shared" si="17"/>
        <v>4.5040133882880991</v>
      </c>
      <c r="H34" s="276">
        <f t="shared" si="18"/>
        <v>0.141118903091174</v>
      </c>
      <c r="I34" s="277">
        <f t="shared" si="19"/>
        <v>3.1331812524831539</v>
      </c>
    </row>
    <row r="35" spans="1:16" ht="12.75" customHeight="1">
      <c r="A35" s="256" t="s">
        <v>385</v>
      </c>
      <c r="B35" s="257">
        <v>14.8</v>
      </c>
      <c r="C35" s="257">
        <v>0.99</v>
      </c>
      <c r="D35" s="257">
        <v>4.3</v>
      </c>
      <c r="E35" s="153">
        <f t="shared" si="15"/>
        <v>3.3100055817671077</v>
      </c>
      <c r="F35" s="153">
        <f t="shared" si="16"/>
        <v>7.4566487031117137E-2</v>
      </c>
      <c r="G35" s="259">
        <f t="shared" si="17"/>
        <v>4.4712915535625006</v>
      </c>
      <c r="H35" s="259">
        <f t="shared" si="18"/>
        <v>0.13093890416030013</v>
      </c>
      <c r="I35" s="278">
        <f t="shared" si="19"/>
        <v>2.9284358354125795</v>
      </c>
    </row>
    <row r="36" spans="1:16" ht="13.5" customHeight="1">
      <c r="A36" s="256" t="s">
        <v>386</v>
      </c>
      <c r="B36" s="286" t="s">
        <v>332</v>
      </c>
      <c r="C36" s="286" t="s">
        <v>332</v>
      </c>
      <c r="D36" s="286" t="s">
        <v>332</v>
      </c>
      <c r="E36" s="286" t="s">
        <v>332</v>
      </c>
      <c r="F36" s="286" t="s">
        <v>332</v>
      </c>
      <c r="G36" s="286" t="s">
        <v>332</v>
      </c>
      <c r="H36" s="286" t="s">
        <v>332</v>
      </c>
      <c r="I36" s="286" t="s">
        <v>332</v>
      </c>
    </row>
    <row r="37" spans="1:16" ht="12.75" customHeight="1">
      <c r="B37" s="38" t="s">
        <v>332</v>
      </c>
      <c r="C37" s="38" t="s">
        <v>332</v>
      </c>
      <c r="D37" s="38" t="s">
        <v>332</v>
      </c>
      <c r="E37" s="80" t="s">
        <v>332</v>
      </c>
      <c r="F37" s="38" t="s">
        <v>332</v>
      </c>
      <c r="G37" s="80" t="s">
        <v>332</v>
      </c>
      <c r="H37" s="80" t="s">
        <v>332</v>
      </c>
      <c r="I37" s="284" t="s">
        <v>332</v>
      </c>
      <c r="K37" s="287" t="s">
        <v>387</v>
      </c>
      <c r="L37" s="288"/>
    </row>
    <row r="38" spans="1:16" ht="14.25" customHeight="1">
      <c r="A38" s="254" t="s">
        <v>388</v>
      </c>
      <c r="B38" s="248" t="s">
        <v>389</v>
      </c>
      <c r="C38" s="68" t="s">
        <v>390</v>
      </c>
      <c r="D38" s="68" t="s">
        <v>391</v>
      </c>
      <c r="E38" s="268" t="s">
        <v>392</v>
      </c>
      <c r="F38" s="152" t="s">
        <v>393</v>
      </c>
      <c r="G38" s="269" t="s">
        <v>394</v>
      </c>
      <c r="H38" s="269" t="s">
        <v>395</v>
      </c>
      <c r="I38" s="285" t="s">
        <v>396</v>
      </c>
      <c r="K38" s="289" t="s">
        <v>397</v>
      </c>
      <c r="L38" s="290" t="s">
        <v>398</v>
      </c>
      <c r="M38" s="161"/>
      <c r="N38" s="161"/>
      <c r="O38" s="44"/>
    </row>
    <row r="39" spans="1:16" ht="12.75" customHeight="1">
      <c r="A39" s="266" t="s">
        <v>399</v>
      </c>
      <c r="B39" s="255">
        <v>0</v>
      </c>
      <c r="C39" s="255" t="s">
        <v>136</v>
      </c>
      <c r="D39" s="255" t="s">
        <v>136</v>
      </c>
      <c r="E39" s="23">
        <v>0</v>
      </c>
      <c r="F39" s="148">
        <v>0</v>
      </c>
      <c r="G39" s="23" t="s">
        <v>136</v>
      </c>
      <c r="H39" s="23" t="s">
        <v>136</v>
      </c>
      <c r="I39" s="21" t="s">
        <v>136</v>
      </c>
      <c r="K39" s="155" t="s">
        <v>400</v>
      </c>
      <c r="L39" s="22"/>
      <c r="M39" s="22"/>
      <c r="N39" s="22"/>
      <c r="O39" s="44"/>
    </row>
    <row r="40" spans="1:16" ht="13.5" customHeight="1">
      <c r="A40" s="256" t="s">
        <v>401</v>
      </c>
      <c r="B40" s="257">
        <v>7.6</v>
      </c>
      <c r="C40" s="257">
        <v>0.99</v>
      </c>
      <c r="D40" s="257">
        <v>1.27</v>
      </c>
      <c r="E40" s="153">
        <f t="shared" ref="E40:E45" si="20">(PI()/4)*(C40^2)*D40</f>
        <v>0.9776062997312156</v>
      </c>
      <c r="F40" s="153">
        <f t="shared" ref="F40:F45" si="21">E40*(0.02/C40+0.01/D40)</f>
        <v>2.7447309616250627E-2</v>
      </c>
      <c r="G40" s="259">
        <f t="shared" ref="G40:G45" si="22">B40/E40</f>
        <v>7.7740906560131151</v>
      </c>
      <c r="H40" s="259">
        <f t="shared" ref="H40:H45" si="23">G40*(0.1/B40+F40/E40)</f>
        <v>0.32055631526367362</v>
      </c>
      <c r="I40" s="260">
        <f t="shared" ref="I40:I45" si="24">100*H40/G40</f>
        <v>4.1233930686893814</v>
      </c>
      <c r="K40" s="119" t="s">
        <v>402</v>
      </c>
      <c r="L40" s="119"/>
      <c r="M40" s="44"/>
      <c r="N40" s="44"/>
      <c r="O40" s="44"/>
    </row>
    <row r="41" spans="1:16" ht="12.75" customHeight="1">
      <c r="A41" s="256" t="s">
        <v>403</v>
      </c>
      <c r="B41" s="257">
        <v>10</v>
      </c>
      <c r="C41" s="257">
        <v>0.99</v>
      </c>
      <c r="D41" s="257">
        <v>1.63</v>
      </c>
      <c r="E41" s="153">
        <f t="shared" si="20"/>
        <v>1.2547230461117176</v>
      </c>
      <c r="F41" s="153">
        <f t="shared" si="21"/>
        <v>3.3045627724947638E-2</v>
      </c>
      <c r="G41" s="259">
        <f t="shared" si="22"/>
        <v>7.9698862876466396</v>
      </c>
      <c r="H41" s="259">
        <f t="shared" si="23"/>
        <v>0.28960167456698022</v>
      </c>
      <c r="I41" s="260">
        <f t="shared" si="24"/>
        <v>3.6336989527173573</v>
      </c>
      <c r="K41" s="161" t="s">
        <v>404</v>
      </c>
      <c r="L41" s="44"/>
      <c r="M41" s="44"/>
      <c r="N41" s="44"/>
      <c r="O41" s="44"/>
    </row>
    <row r="42" spans="1:16" ht="12.75" customHeight="1">
      <c r="A42" s="256" t="s">
        <v>405</v>
      </c>
      <c r="B42" s="257">
        <v>15.8</v>
      </c>
      <c r="C42" s="257">
        <v>0.99</v>
      </c>
      <c r="D42" s="257">
        <v>2.54</v>
      </c>
      <c r="E42" s="153">
        <f t="shared" si="20"/>
        <v>1.9552125994624312</v>
      </c>
      <c r="F42" s="153">
        <f t="shared" si="21"/>
        <v>4.7196931833042861E-2</v>
      </c>
      <c r="G42" s="259">
        <f t="shared" si="22"/>
        <v>8.0809626555925806</v>
      </c>
      <c r="H42" s="259">
        <f t="shared" si="23"/>
        <v>0.24621191768799153</v>
      </c>
      <c r="I42" s="260">
        <f t="shared" si="24"/>
        <v>3.0468142000086584</v>
      </c>
      <c r="K42" s="161" t="s">
        <v>406</v>
      </c>
      <c r="L42" s="44"/>
      <c r="M42" s="44"/>
      <c r="N42" s="44"/>
      <c r="O42" s="44"/>
    </row>
    <row r="43" spans="1:16" ht="12.75" customHeight="1">
      <c r="A43" s="256" t="s">
        <v>407</v>
      </c>
      <c r="B43" s="257">
        <v>20.2</v>
      </c>
      <c r="C43" s="257">
        <v>0.99</v>
      </c>
      <c r="D43" s="257">
        <v>3.27</v>
      </c>
      <c r="E43" s="153">
        <f t="shared" si="20"/>
        <v>2.5171437796228937</v>
      </c>
      <c r="F43" s="153">
        <f t="shared" si="21"/>
        <v>5.8549076886789585E-2</v>
      </c>
      <c r="G43" s="259">
        <f t="shared" si="22"/>
        <v>8.0249686821728812</v>
      </c>
      <c r="H43" s="259">
        <f t="shared" si="23"/>
        <v>0.22638933580186324</v>
      </c>
      <c r="I43" s="260">
        <f t="shared" si="24"/>
        <v>2.8210619227060327</v>
      </c>
      <c r="K43" s="289" t="s">
        <v>408</v>
      </c>
      <c r="L43" s="44"/>
      <c r="M43" s="44"/>
      <c r="N43" s="44"/>
      <c r="O43" s="44"/>
    </row>
    <row r="44" spans="1:16" ht="13.5" customHeight="1">
      <c r="A44" s="256" t="s">
        <v>409</v>
      </c>
      <c r="B44" s="257">
        <v>26.2</v>
      </c>
      <c r="C44" s="257">
        <v>1</v>
      </c>
      <c r="D44" s="257">
        <v>4.2300000000000004</v>
      </c>
      <c r="E44" s="153">
        <f t="shared" si="20"/>
        <v>3.3222342311712065</v>
      </c>
      <c r="F44" s="153">
        <f t="shared" si="21"/>
        <v>7.4298666257398616E-2</v>
      </c>
      <c r="G44" s="259">
        <f t="shared" si="22"/>
        <v>7.8862591186906048</v>
      </c>
      <c r="H44" s="259">
        <f t="shared" si="23"/>
        <v>0.20646904659613416</v>
      </c>
      <c r="I44" s="260">
        <f t="shared" si="24"/>
        <v>2.6180860086983198</v>
      </c>
      <c r="K44" s="237" t="s">
        <v>410</v>
      </c>
      <c r="L44" s="120"/>
      <c r="M44" s="44"/>
      <c r="N44" s="44"/>
      <c r="O44" s="44"/>
    </row>
    <row r="45" spans="1:16" ht="12.75" customHeight="1">
      <c r="A45" s="256" t="s">
        <v>411</v>
      </c>
      <c r="B45" s="257">
        <v>29.8</v>
      </c>
      <c r="C45" s="257">
        <v>0.99</v>
      </c>
      <c r="D45" s="257">
        <v>4.88</v>
      </c>
      <c r="E45" s="153">
        <f t="shared" si="20"/>
        <v>3.7564714509356945</v>
      </c>
      <c r="F45" s="153">
        <f t="shared" si="21"/>
        <v>8.3585999539573436E-2</v>
      </c>
      <c r="G45" s="259">
        <f t="shared" si="22"/>
        <v>7.9329765683636859</v>
      </c>
      <c r="H45" s="259">
        <f t="shared" si="23"/>
        <v>0.20313897916104695</v>
      </c>
      <c r="I45" s="260">
        <f t="shared" si="24"/>
        <v>2.5606905227875627</v>
      </c>
      <c r="K45" s="151" t="s">
        <v>412</v>
      </c>
      <c r="L45" s="52"/>
      <c r="M45" s="52"/>
      <c r="N45" s="52"/>
      <c r="O45" s="16"/>
      <c r="P45" s="16"/>
    </row>
    <row r="46" spans="1:16" ht="12.75" customHeight="1">
      <c r="B46" s="38" t="s">
        <v>332</v>
      </c>
      <c r="C46" s="38" t="s">
        <v>332</v>
      </c>
      <c r="D46" s="38" t="s">
        <v>332</v>
      </c>
      <c r="E46" s="80" t="s">
        <v>332</v>
      </c>
      <c r="F46" s="80" t="s">
        <v>332</v>
      </c>
      <c r="G46" s="80" t="s">
        <v>332</v>
      </c>
      <c r="H46" s="80" t="s">
        <v>332</v>
      </c>
      <c r="I46" s="284" t="s">
        <v>332</v>
      </c>
    </row>
    <row r="47" spans="1:16" ht="14.25" customHeight="1">
      <c r="A47" s="254" t="s">
        <v>413</v>
      </c>
      <c r="B47" s="248" t="s">
        <v>414</v>
      </c>
      <c r="C47" s="68" t="s">
        <v>415</v>
      </c>
      <c r="D47" s="68" t="s">
        <v>416</v>
      </c>
      <c r="E47" s="268" t="s">
        <v>417</v>
      </c>
      <c r="F47" s="269" t="s">
        <v>418</v>
      </c>
      <c r="G47" s="269" t="s">
        <v>419</v>
      </c>
      <c r="H47" s="269" t="s">
        <v>420</v>
      </c>
      <c r="I47" s="285" t="s">
        <v>421</v>
      </c>
    </row>
    <row r="48" spans="1:16" ht="12.75" customHeight="1">
      <c r="A48" s="266" t="s">
        <v>422</v>
      </c>
      <c r="B48" s="255">
        <v>0</v>
      </c>
      <c r="C48" s="255" t="s">
        <v>136</v>
      </c>
      <c r="D48" s="255" t="s">
        <v>136</v>
      </c>
      <c r="E48" s="23">
        <v>0</v>
      </c>
      <c r="F48" s="23">
        <v>0</v>
      </c>
      <c r="G48" s="23" t="s">
        <v>136</v>
      </c>
      <c r="H48" s="23" t="s">
        <v>136</v>
      </c>
      <c r="I48" s="21" t="s">
        <v>136</v>
      </c>
    </row>
    <row r="49" spans="1:15" ht="12" customHeight="1">
      <c r="A49" s="256" t="s">
        <v>423</v>
      </c>
      <c r="B49" s="257">
        <v>8.4</v>
      </c>
      <c r="C49" s="257">
        <v>0.98</v>
      </c>
      <c r="D49" s="257">
        <v>1.2</v>
      </c>
      <c r="E49" s="153">
        <f t="shared" ref="E49:E54" si="25">(PI()/4)*(C49^2)*D49</f>
        <v>0.90515567535229102</v>
      </c>
      <c r="F49" s="153">
        <f t="shared" ref="F49:F54" si="26">E49*(0.02/C49+0.01/D49)</f>
        <v>2.6015528764377072E-2</v>
      </c>
      <c r="G49" s="259">
        <f t="shared" ref="G49:G54" si="27">B49/E49</f>
        <v>9.2801716088568735</v>
      </c>
      <c r="H49" s="259">
        <f t="shared" ref="H49:H54" si="28">G49*(0.1/B49+F49/E49)</f>
        <v>0.37720425416952258</v>
      </c>
      <c r="I49" s="260">
        <f t="shared" ref="I49:I54" si="29">100*H49/G49</f>
        <v>4.0646258503401365</v>
      </c>
    </row>
    <row r="50" spans="1:15" ht="15" customHeight="1">
      <c r="A50" s="256" t="s">
        <v>424</v>
      </c>
      <c r="B50" s="257">
        <v>11.5</v>
      </c>
      <c r="C50" s="257">
        <v>0.98</v>
      </c>
      <c r="D50" s="257">
        <v>1.66</v>
      </c>
      <c r="E50" s="153">
        <f t="shared" si="25"/>
        <v>1.2521320175706694</v>
      </c>
      <c r="F50" s="153">
        <f t="shared" si="26"/>
        <v>3.3096678605568468E-2</v>
      </c>
      <c r="G50" s="259">
        <f t="shared" si="27"/>
        <v>9.1843350690063712</v>
      </c>
      <c r="H50" s="259">
        <f t="shared" si="28"/>
        <v>0.32262651247311913</v>
      </c>
      <c r="I50" s="260">
        <f t="shared" si="29"/>
        <v>3.5127911824761338</v>
      </c>
      <c r="K50" s="39" t="s">
        <v>66</v>
      </c>
      <c r="L50" s="39"/>
      <c r="M50" s="39"/>
      <c r="N50" s="16"/>
      <c r="O50" s="16"/>
    </row>
    <row r="51" spans="1:15" ht="15" customHeight="1">
      <c r="A51" s="256" t="s">
        <v>425</v>
      </c>
      <c r="B51" s="257">
        <v>13.8</v>
      </c>
      <c r="C51" s="257">
        <v>0.98</v>
      </c>
      <c r="D51" s="257">
        <v>1.99</v>
      </c>
      <c r="E51" s="153">
        <f t="shared" si="25"/>
        <v>1.5010498282925493</v>
      </c>
      <c r="F51" s="153">
        <f t="shared" si="26"/>
        <v>3.8176633926423162E-2</v>
      </c>
      <c r="G51" s="259">
        <f t="shared" si="27"/>
        <v>9.1935655565129117</v>
      </c>
      <c r="H51" s="259">
        <f t="shared" si="28"/>
        <v>0.30044264902422146</v>
      </c>
      <c r="I51" s="260">
        <f t="shared" si="29"/>
        <v>3.267966570504103</v>
      </c>
      <c r="K51" s="291" t="s">
        <v>426</v>
      </c>
      <c r="L51" s="49"/>
      <c r="M51" s="49"/>
      <c r="N51" s="1"/>
      <c r="O51" s="1"/>
    </row>
    <row r="52" spans="1:15" ht="15" customHeight="1">
      <c r="A52" s="256" t="s">
        <v>427</v>
      </c>
      <c r="B52" s="257">
        <v>19.3</v>
      </c>
      <c r="C52" s="257">
        <v>0.98</v>
      </c>
      <c r="D52" s="257">
        <v>2.78</v>
      </c>
      <c r="E52" s="153">
        <f t="shared" si="25"/>
        <v>2.0969439812328075</v>
      </c>
      <c r="F52" s="153">
        <f t="shared" si="26"/>
        <v>5.0337739088469245E-2</v>
      </c>
      <c r="G52" s="259">
        <f t="shared" si="27"/>
        <v>9.2038700951149881</v>
      </c>
      <c r="H52" s="259">
        <f t="shared" si="28"/>
        <v>0.26862997604775968</v>
      </c>
      <c r="I52" s="260">
        <f t="shared" si="29"/>
        <v>2.918663271772346</v>
      </c>
      <c r="K52" s="292"/>
      <c r="L52" s="1"/>
      <c r="M52" s="1"/>
    </row>
    <row r="53" spans="1:15" ht="12.75" customHeight="1">
      <c r="A53" s="256" t="s">
        <v>428</v>
      </c>
      <c r="B53" s="257">
        <v>23.6</v>
      </c>
      <c r="C53" s="257">
        <v>1</v>
      </c>
      <c r="D53" s="257">
        <v>3.4</v>
      </c>
      <c r="E53" s="153">
        <f t="shared" si="25"/>
        <v>2.6703537555513241</v>
      </c>
      <c r="F53" s="153">
        <f t="shared" si="26"/>
        <v>6.1261056745000965E-2</v>
      </c>
      <c r="G53" s="259">
        <f t="shared" si="27"/>
        <v>8.8377803693381889</v>
      </c>
      <c r="H53" s="259">
        <f t="shared" si="28"/>
        <v>0.24019730096526323</v>
      </c>
      <c r="I53" s="260">
        <f t="shared" si="29"/>
        <v>2.7178464606181456</v>
      </c>
    </row>
    <row r="54" spans="1:15" ht="12.75" customHeight="1">
      <c r="A54" s="256" t="s">
        <v>429</v>
      </c>
      <c r="B54" s="257">
        <v>30.9</v>
      </c>
      <c r="C54" s="257">
        <v>1</v>
      </c>
      <c r="D54" s="257">
        <v>4.45</v>
      </c>
      <c r="E54" s="153">
        <f t="shared" si="25"/>
        <v>3.4950218271186451</v>
      </c>
      <c r="F54" s="153">
        <f t="shared" si="26"/>
        <v>7.7754418176347387E-2</v>
      </c>
      <c r="G54" s="259">
        <f t="shared" si="27"/>
        <v>8.8411465016441628</v>
      </c>
      <c r="H54" s="259">
        <f t="shared" si="28"/>
        <v>0.2253027995811884</v>
      </c>
      <c r="I54" s="260">
        <f t="shared" si="29"/>
        <v>2.548343696592851</v>
      </c>
    </row>
    <row r="55" spans="1:15" ht="12.75" customHeight="1">
      <c r="A55" s="1"/>
      <c r="B55" s="38" t="s">
        <v>332</v>
      </c>
      <c r="C55" s="38" t="s">
        <v>332</v>
      </c>
      <c r="D55" s="38" t="s">
        <v>332</v>
      </c>
      <c r="E55" s="80" t="s">
        <v>332</v>
      </c>
      <c r="F55" s="80" t="s">
        <v>332</v>
      </c>
      <c r="G55" s="80" t="s">
        <v>332</v>
      </c>
      <c r="H55" s="293" t="s">
        <v>332</v>
      </c>
      <c r="I55" s="284" t="s">
        <v>332</v>
      </c>
    </row>
    <row r="56" spans="1:15" ht="14.25" customHeight="1">
      <c r="A56" s="254" t="s">
        <v>430</v>
      </c>
      <c r="B56" s="248" t="s">
        <v>431</v>
      </c>
      <c r="C56" s="68" t="s">
        <v>432</v>
      </c>
      <c r="D56" s="68" t="s">
        <v>433</v>
      </c>
      <c r="E56" s="268" t="s">
        <v>434</v>
      </c>
      <c r="F56" s="269" t="s">
        <v>435</v>
      </c>
      <c r="G56" s="269" t="s">
        <v>436</v>
      </c>
      <c r="H56" s="294" t="s">
        <v>437</v>
      </c>
      <c r="I56" s="285" t="s">
        <v>438</v>
      </c>
    </row>
    <row r="57" spans="1:15" ht="12.75" customHeight="1">
      <c r="A57" s="266" t="s">
        <v>439</v>
      </c>
      <c r="B57" s="255">
        <v>0</v>
      </c>
      <c r="C57" s="255" t="s">
        <v>136</v>
      </c>
      <c r="D57" s="255" t="s">
        <v>136</v>
      </c>
      <c r="E57" s="23">
        <v>0</v>
      </c>
      <c r="F57" s="23">
        <v>0</v>
      </c>
      <c r="G57" s="23" t="s">
        <v>136</v>
      </c>
      <c r="H57" s="20" t="s">
        <v>136</v>
      </c>
      <c r="I57" s="21" t="s">
        <v>136</v>
      </c>
    </row>
    <row r="58" spans="1:15" ht="12.75" customHeight="1">
      <c r="A58" s="256" t="s">
        <v>440</v>
      </c>
      <c r="B58" s="257">
        <v>8.8000000000000007</v>
      </c>
      <c r="C58" s="257">
        <v>1</v>
      </c>
      <c r="D58" s="257">
        <v>1.03</v>
      </c>
      <c r="E58" s="153">
        <f t="shared" ref="E58:E63" si="30">(PI()/4)*(C58^2)*D58</f>
        <v>0.80896010829937171</v>
      </c>
      <c r="F58" s="153">
        <f t="shared" ref="F58:F63" si="31">E58*(0.02/C58+0.01/D58)</f>
        <v>2.4033183799961916E-2</v>
      </c>
      <c r="G58" s="153">
        <f t="shared" ref="G58:G63" si="32">B58/E58</f>
        <v>10.878163100649935</v>
      </c>
      <c r="H58" s="153">
        <f t="shared" ref="H58:H63" si="33">G58*(0.1/B58+F58/E58)</f>
        <v>0.44679198578000423</v>
      </c>
      <c r="I58" s="21">
        <f t="shared" ref="I58:I63" si="34">100*H58/G58</f>
        <v>4.1072374227714041</v>
      </c>
    </row>
    <row r="59" spans="1:15" ht="12.75" customHeight="1">
      <c r="A59" s="256" t="s">
        <v>441</v>
      </c>
      <c r="B59" s="257">
        <v>12.5</v>
      </c>
      <c r="C59" s="257">
        <v>1.03</v>
      </c>
      <c r="D59" s="257">
        <v>1.38</v>
      </c>
      <c r="E59" s="153">
        <f t="shared" si="30"/>
        <v>1.1498558979367268</v>
      </c>
      <c r="F59" s="153">
        <f t="shared" si="31"/>
        <v>3.0659588104546182E-2</v>
      </c>
      <c r="G59" s="153">
        <f t="shared" si="32"/>
        <v>10.870927411364931</v>
      </c>
      <c r="H59" s="153">
        <f t="shared" si="33"/>
        <v>0.37682822475787525</v>
      </c>
      <c r="I59" s="21">
        <f t="shared" si="34"/>
        <v>3.4663852539749547</v>
      </c>
    </row>
    <row r="60" spans="1:15" ht="12.75" customHeight="1">
      <c r="A60" s="256" t="s">
        <v>442</v>
      </c>
      <c r="B60" s="257">
        <v>15</v>
      </c>
      <c r="C60" s="257">
        <v>1.01</v>
      </c>
      <c r="D60" s="257">
        <v>1.67</v>
      </c>
      <c r="E60" s="153">
        <f t="shared" si="30"/>
        <v>1.3379783930245008</v>
      </c>
      <c r="F60" s="153">
        <f t="shared" si="31"/>
        <v>3.4506468308866896E-2</v>
      </c>
      <c r="G60" s="153">
        <f t="shared" si="32"/>
        <v>11.210943374124669</v>
      </c>
      <c r="H60" s="153">
        <f t="shared" si="33"/>
        <v>0.36386989863955083</v>
      </c>
      <c r="I60" s="21">
        <f t="shared" si="34"/>
        <v>3.2456670816782278</v>
      </c>
    </row>
    <row r="61" spans="1:15" ht="12.75" customHeight="1">
      <c r="A61" s="256" t="s">
        <v>443</v>
      </c>
      <c r="B61" s="257">
        <v>18.2</v>
      </c>
      <c r="C61" s="257">
        <v>0.99</v>
      </c>
      <c r="D61" s="257">
        <v>2.35</v>
      </c>
      <c r="E61" s="153">
        <f t="shared" si="30"/>
        <v>1.8089565388727218</v>
      </c>
      <c r="F61" s="153">
        <f t="shared" si="31"/>
        <v>4.424226394234166E-2</v>
      </c>
      <c r="G61" s="153">
        <f t="shared" si="32"/>
        <v>10.061048791886178</v>
      </c>
      <c r="H61" s="153">
        <f t="shared" si="33"/>
        <v>0.30134697239719638</v>
      </c>
      <c r="I61" s="21">
        <f t="shared" si="34"/>
        <v>2.9951844845461872</v>
      </c>
    </row>
    <row r="62" spans="1:15" ht="12.75" customHeight="1">
      <c r="A62" s="256" t="s">
        <v>444</v>
      </c>
      <c r="B62" s="257">
        <v>28.2</v>
      </c>
      <c r="C62" s="257">
        <v>1.03</v>
      </c>
      <c r="D62" s="257">
        <v>2.98</v>
      </c>
      <c r="E62" s="153">
        <f t="shared" si="30"/>
        <v>2.4830221564140915</v>
      </c>
      <c r="F62" s="153">
        <f t="shared" si="31"/>
        <v>5.6546311570126073E-2</v>
      </c>
      <c r="G62" s="153">
        <f t="shared" si="32"/>
        <v>11.357127815857117</v>
      </c>
      <c r="H62" s="153">
        <f t="shared" si="33"/>
        <v>0.29891142376637952</v>
      </c>
      <c r="I62" s="21">
        <f t="shared" si="34"/>
        <v>2.6319279716922055</v>
      </c>
      <c r="J62" s="1"/>
    </row>
    <row r="63" spans="1:15" ht="12.75" customHeight="1">
      <c r="A63" s="256" t="s">
        <v>445</v>
      </c>
      <c r="B63" s="257">
        <v>30.8</v>
      </c>
      <c r="C63" s="257">
        <v>0.96</v>
      </c>
      <c r="D63" s="257">
        <v>4.0999999999999996</v>
      </c>
      <c r="E63" s="153">
        <f t="shared" si="30"/>
        <v>2.9676740842870619</v>
      </c>
      <c r="F63" s="153">
        <f t="shared" si="31"/>
        <v>6.9064772896518023E-2</v>
      </c>
      <c r="G63" s="153">
        <f t="shared" si="32"/>
        <v>10.378498152164585</v>
      </c>
      <c r="H63" s="153">
        <f t="shared" si="33"/>
        <v>0.27522854420262255</v>
      </c>
      <c r="I63" s="21">
        <f t="shared" si="34"/>
        <v>2.6519110970330488</v>
      </c>
    </row>
    <row r="64" spans="1:15" ht="13.5" customHeight="1">
      <c r="A64" s="186"/>
      <c r="B64" s="38" t="s">
        <v>332</v>
      </c>
      <c r="C64" s="38" t="s">
        <v>332</v>
      </c>
      <c r="D64" s="38" t="s">
        <v>332</v>
      </c>
      <c r="E64" s="38" t="s">
        <v>332</v>
      </c>
      <c r="F64" s="38" t="s">
        <v>332</v>
      </c>
      <c r="G64" s="38" t="s">
        <v>332</v>
      </c>
      <c r="H64" s="38" t="s">
        <v>332</v>
      </c>
      <c r="I64" s="38" t="s">
        <v>332</v>
      </c>
    </row>
    <row r="65" spans="3:10" ht="12.75" customHeight="1"/>
    <row r="66" spans="3:10" ht="12.75" customHeight="1">
      <c r="C66" s="1"/>
      <c r="D66" s="1"/>
      <c r="E66" s="1"/>
      <c r="F66" s="1"/>
      <c r="G66" s="1"/>
      <c r="H66" s="1"/>
      <c r="I66" s="1"/>
    </row>
    <row r="67" spans="3:10" ht="21" customHeight="1">
      <c r="C67" s="39" t="s">
        <v>446</v>
      </c>
      <c r="D67" s="39"/>
      <c r="E67" s="39"/>
      <c r="F67" s="39"/>
      <c r="G67" s="39"/>
      <c r="H67" s="16"/>
      <c r="I67" s="16"/>
      <c r="J67" s="295" t="s">
        <v>447</v>
      </c>
    </row>
    <row r="68" spans="3:10" ht="21" customHeight="1">
      <c r="C68" s="1"/>
      <c r="D68" s="201"/>
      <c r="E68" s="201"/>
      <c r="F68" s="201"/>
      <c r="G68" s="201"/>
      <c r="H68" s="201"/>
      <c r="I68" s="201"/>
    </row>
    <row r="69" spans="3:10" ht="12.75" customHeight="1">
      <c r="C69" s="1"/>
      <c r="D69" s="1"/>
      <c r="E69" s="1"/>
      <c r="F69" s="1"/>
      <c r="G69" s="1"/>
      <c r="H69" s="1"/>
      <c r="I69" s="1"/>
    </row>
    <row r="70" spans="3:10" ht="12.75" customHeight="1">
      <c r="C70" s="1"/>
      <c r="D70" s="1"/>
      <c r="E70" s="1"/>
      <c r="F70" s="1"/>
      <c r="G70" s="1"/>
      <c r="H70" s="1"/>
      <c r="I70" s="1"/>
    </row>
    <row r="71" spans="3:10" ht="12.75" customHeight="1"/>
    <row r="72" spans="3:10" ht="12.75" customHeight="1"/>
    <row r="73" spans="3:10" ht="12.75" customHeight="1"/>
    <row r="74" spans="3:10" ht="12.75" customHeight="1"/>
    <row r="75" spans="3:10" ht="12.75" customHeight="1"/>
    <row r="76" spans="3:10" ht="12.75" customHeight="1"/>
    <row r="77" spans="3:10" ht="12.75" customHeight="1"/>
    <row r="78" spans="3:10" ht="12.75" customHeight="1"/>
    <row r="79" spans="3:10" ht="12.75" customHeight="1"/>
    <row r="80" spans="3:1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000"/>
  <sheetViews>
    <sheetView workbookViewId="0"/>
  </sheetViews>
  <sheetFormatPr baseColWidth="10" defaultColWidth="12.6640625" defaultRowHeight="15" customHeight="1"/>
  <cols>
    <col min="1" max="1" width="10.44140625" customWidth="1"/>
    <col min="2" max="2" width="10.109375" customWidth="1"/>
    <col min="3" max="3" width="7.33203125" customWidth="1"/>
    <col min="4" max="4" width="10" customWidth="1"/>
    <col min="5" max="5" width="11.109375" customWidth="1"/>
    <col min="6" max="6" width="8.88671875" customWidth="1"/>
    <col min="7" max="7" width="8.44140625" customWidth="1"/>
    <col min="8" max="8" width="10" customWidth="1"/>
    <col min="9" max="9" width="1.88671875" customWidth="1"/>
    <col min="10" max="10" width="9.44140625" customWidth="1"/>
    <col min="11" max="11" width="10" customWidth="1"/>
    <col min="12" max="12" width="6.88671875" customWidth="1"/>
    <col min="13" max="13" width="8.6640625" customWidth="1"/>
    <col min="14" max="14" width="6.44140625" customWidth="1"/>
    <col min="15" max="15" width="7.44140625" customWidth="1"/>
    <col min="16" max="16" width="1.44140625" hidden="1" customWidth="1"/>
    <col min="17" max="17" width="5.44140625" customWidth="1"/>
    <col min="18" max="18" width="7" customWidth="1"/>
    <col min="19" max="19" width="10" customWidth="1"/>
    <col min="20" max="20" width="7.44140625" customWidth="1"/>
    <col min="21" max="26" width="10" customWidth="1"/>
  </cols>
  <sheetData>
    <row r="1" spans="1:20" ht="22.5" customHeight="1">
      <c r="B1" s="296" t="s">
        <v>448</v>
      </c>
      <c r="C1" s="297"/>
      <c r="D1" s="141"/>
      <c r="E1" s="141"/>
      <c r="F1" s="141"/>
      <c r="G1" s="141"/>
      <c r="H1" s="141"/>
      <c r="I1" s="141"/>
      <c r="J1" s="141"/>
      <c r="K1" s="1"/>
    </row>
    <row r="2" spans="1:20" ht="15" customHeight="1">
      <c r="A2" s="298" t="s">
        <v>316</v>
      </c>
      <c r="B2" s="299" t="s">
        <v>449</v>
      </c>
      <c r="C2" s="299"/>
      <c r="D2" s="299"/>
      <c r="E2" s="299"/>
      <c r="F2" s="299"/>
      <c r="G2" s="300"/>
      <c r="H2" s="300"/>
      <c r="I2" s="300"/>
      <c r="J2" s="300"/>
      <c r="K2" s="236"/>
    </row>
    <row r="3" spans="1:20" ht="13.5" customHeight="1">
      <c r="A3" s="74" t="s">
        <v>450</v>
      </c>
      <c r="B3" s="301" t="s">
        <v>451</v>
      </c>
      <c r="C3" s="301" t="s">
        <v>452</v>
      </c>
      <c r="D3" s="302" t="s">
        <v>453</v>
      </c>
      <c r="E3" s="302" t="s">
        <v>454</v>
      </c>
      <c r="F3" s="302" t="s">
        <v>455</v>
      </c>
      <c r="G3" s="301" t="s">
        <v>456</v>
      </c>
      <c r="H3" s="303" t="s">
        <v>457</v>
      </c>
    </row>
    <row r="4" spans="1:20" ht="12.75" customHeight="1">
      <c r="A4" s="304" t="s">
        <v>317</v>
      </c>
      <c r="B4" s="257">
        <v>1.34</v>
      </c>
      <c r="C4" s="158">
        <v>0.96992274949869839</v>
      </c>
      <c r="D4" s="159">
        <v>0.82480795549282415</v>
      </c>
      <c r="E4" s="159">
        <v>0.12643977675931664</v>
      </c>
      <c r="F4" s="305">
        <v>15.329601990049751</v>
      </c>
      <c r="G4" s="184">
        <f t="shared" ref="G4:G9" si="0">1/B4</f>
        <v>0.74626865671641784</v>
      </c>
      <c r="H4" s="196">
        <f t="shared" ref="H4:H9" si="1">0.01/(B4^2)</f>
        <v>5.5691690799732673E-3</v>
      </c>
    </row>
    <row r="5" spans="1:20" ht="15" customHeight="1">
      <c r="A5" s="180" t="s">
        <v>320</v>
      </c>
      <c r="B5" s="257">
        <v>1.63</v>
      </c>
      <c r="C5" s="158">
        <v>1.1798314042409539</v>
      </c>
      <c r="D5" s="159">
        <v>0.76282085454321014</v>
      </c>
      <c r="E5" s="159">
        <v>0.10532985640655013</v>
      </c>
      <c r="F5" s="305">
        <v>13.807941376959786</v>
      </c>
      <c r="G5" s="184">
        <f t="shared" si="0"/>
        <v>0.61349693251533743</v>
      </c>
      <c r="H5" s="196">
        <f t="shared" si="1"/>
        <v>3.763784862057285E-3</v>
      </c>
      <c r="J5" s="306" t="s">
        <v>458</v>
      </c>
      <c r="K5" s="156"/>
      <c r="L5" s="156"/>
      <c r="M5" s="156"/>
    </row>
    <row r="6" spans="1:20" ht="12.75" customHeight="1">
      <c r="A6" s="180" t="s">
        <v>323</v>
      </c>
      <c r="B6" s="257">
        <v>2.4900000000000002</v>
      </c>
      <c r="C6" s="158">
        <v>1.8781980263560041</v>
      </c>
      <c r="D6" s="158">
        <v>0.74539530994834313</v>
      </c>
      <c r="E6" s="158">
        <v>7.1448226783426549E-2</v>
      </c>
      <c r="F6" s="305">
        <v>9.5852798950905669</v>
      </c>
      <c r="G6" s="184">
        <f t="shared" si="0"/>
        <v>0.40160642570281119</v>
      </c>
      <c r="H6" s="196">
        <f t="shared" si="1"/>
        <v>1.6128772116578763E-3</v>
      </c>
    </row>
    <row r="7" spans="1:20" ht="15" customHeight="1">
      <c r="A7" s="180" t="s">
        <v>326</v>
      </c>
      <c r="B7" s="257">
        <v>3</v>
      </c>
      <c r="C7" s="158">
        <v>2.3093062198375174</v>
      </c>
      <c r="D7" s="158">
        <v>0.69284878127274774</v>
      </c>
      <c r="E7" s="158">
        <v>5.9609489843339684E-2</v>
      </c>
      <c r="F7" s="305">
        <v>8.6035353535353529</v>
      </c>
      <c r="G7" s="184">
        <f t="shared" si="0"/>
        <v>0.33333333333333331</v>
      </c>
      <c r="H7" s="196">
        <f t="shared" si="1"/>
        <v>1.1111111111111111E-3</v>
      </c>
      <c r="J7" s="65" t="s">
        <v>78</v>
      </c>
      <c r="K7" s="65"/>
      <c r="L7" s="65"/>
      <c r="M7" s="66"/>
      <c r="N7" s="67"/>
      <c r="O7" s="67"/>
      <c r="P7" s="67"/>
      <c r="Q7" s="67"/>
      <c r="R7" s="67"/>
      <c r="S7" s="67"/>
    </row>
    <row r="8" spans="1:20" ht="12.75" customHeight="1">
      <c r="A8" s="180" t="s">
        <v>329</v>
      </c>
      <c r="B8" s="257">
        <v>3.98</v>
      </c>
      <c r="C8" s="158">
        <v>3.0020996565850986</v>
      </c>
      <c r="D8" s="158">
        <v>0.73282044291044945</v>
      </c>
      <c r="E8" s="158">
        <v>5.0106796769610919E-2</v>
      </c>
      <c r="F8" s="305">
        <v>6.8375271533921937</v>
      </c>
      <c r="G8" s="307">
        <f t="shared" si="0"/>
        <v>0.25125628140703515</v>
      </c>
      <c r="H8" s="308">
        <f t="shared" si="1"/>
        <v>6.3129718946491247E-4</v>
      </c>
    </row>
    <row r="9" spans="1:20" ht="12.75" customHeight="1">
      <c r="A9" s="309" t="s">
        <v>330</v>
      </c>
      <c r="B9" s="257">
        <v>5.17</v>
      </c>
      <c r="C9" s="158">
        <v>3.8205324521332074</v>
      </c>
      <c r="D9" s="158">
        <v>0.7328821401416471</v>
      </c>
      <c r="E9" s="158">
        <v>4.2702901111807634E-2</v>
      </c>
      <c r="F9" s="305">
        <v>5.8267078392105818</v>
      </c>
      <c r="G9" s="307">
        <f t="shared" si="0"/>
        <v>0.19342359767891684</v>
      </c>
      <c r="H9" s="308">
        <f t="shared" si="1"/>
        <v>3.741268813905548E-4</v>
      </c>
    </row>
    <row r="10" spans="1:20" ht="16.5" customHeight="1">
      <c r="A10" s="24" t="s">
        <v>136</v>
      </c>
      <c r="B10" s="24" t="s">
        <v>136</v>
      </c>
      <c r="C10" s="310" t="s">
        <v>459</v>
      </c>
      <c r="D10" s="153">
        <f>AVERAGE(D4:D9)</f>
        <v>0.74859591405153703</v>
      </c>
      <c r="E10" s="24" t="s">
        <v>136</v>
      </c>
      <c r="F10" s="24" t="s">
        <v>136</v>
      </c>
      <c r="G10" s="24" t="s">
        <v>136</v>
      </c>
      <c r="H10" s="24" t="s">
        <v>136</v>
      </c>
    </row>
    <row r="11" spans="1:20" ht="18" customHeight="1">
      <c r="A11" s="311" t="s">
        <v>344</v>
      </c>
      <c r="J11" s="171" t="s">
        <v>460</v>
      </c>
      <c r="K11" s="176"/>
      <c r="L11" s="173"/>
      <c r="M11" s="173"/>
      <c r="N11" s="173"/>
      <c r="O11" s="173"/>
    </row>
    <row r="12" spans="1:20" ht="13.5" customHeight="1">
      <c r="A12" s="74" t="s">
        <v>461</v>
      </c>
      <c r="B12" s="301" t="s">
        <v>462</v>
      </c>
      <c r="C12" s="301" t="s">
        <v>463</v>
      </c>
      <c r="D12" s="302" t="s">
        <v>464</v>
      </c>
      <c r="E12" s="302" t="s">
        <v>465</v>
      </c>
      <c r="F12" s="302" t="s">
        <v>466</v>
      </c>
      <c r="G12" s="301" t="s">
        <v>467</v>
      </c>
      <c r="H12" s="303" t="s">
        <v>468</v>
      </c>
    </row>
    <row r="13" spans="1:20" ht="13.5" customHeight="1">
      <c r="A13" s="180" t="s">
        <v>345</v>
      </c>
      <c r="B13" s="257">
        <v>0.88</v>
      </c>
      <c r="C13" s="158">
        <v>0.66378082859168008</v>
      </c>
      <c r="D13" s="159">
        <v>1.2052170920593341</v>
      </c>
      <c r="E13" s="159">
        <v>0.18894405246570267</v>
      </c>
      <c r="F13" s="305">
        <v>15.677179962894249</v>
      </c>
      <c r="G13" s="153">
        <f t="shared" ref="G13:G18" si="2">1/B13</f>
        <v>1.1363636363636365</v>
      </c>
      <c r="H13" s="153">
        <f t="shared" ref="H13:H18" si="3">0.01/(B13^2)</f>
        <v>1.2913223140495868E-2</v>
      </c>
      <c r="J13" s="123" t="s">
        <v>469</v>
      </c>
      <c r="K13" s="123"/>
      <c r="L13" s="312"/>
      <c r="M13" s="312"/>
      <c r="N13" s="312"/>
      <c r="O13" s="312"/>
      <c r="P13" s="312"/>
      <c r="Q13" s="52"/>
      <c r="R13" s="52"/>
      <c r="S13" s="52"/>
      <c r="T13" s="52"/>
    </row>
    <row r="14" spans="1:20" ht="13.5" customHeight="1">
      <c r="A14" s="180" t="s">
        <v>347</v>
      </c>
      <c r="B14" s="257">
        <v>1.8</v>
      </c>
      <c r="C14" s="158">
        <v>1.3577335130284367</v>
      </c>
      <c r="D14" s="159">
        <v>1.2520866456394193</v>
      </c>
      <c r="E14" s="159">
        <v>0.10616098123258597</v>
      </c>
      <c r="F14" s="305">
        <v>8.47872482326264</v>
      </c>
      <c r="G14" s="196">
        <f t="shared" si="2"/>
        <v>0.55555555555555558</v>
      </c>
      <c r="H14" s="196">
        <f t="shared" si="3"/>
        <v>3.0864197530864196E-3</v>
      </c>
      <c r="J14" s="123" t="s">
        <v>470</v>
      </c>
      <c r="K14" s="123"/>
      <c r="L14" s="312"/>
      <c r="M14" s="312"/>
      <c r="N14" s="312"/>
      <c r="O14" s="312"/>
      <c r="P14" s="312"/>
      <c r="Q14" s="52"/>
      <c r="R14" s="52"/>
      <c r="S14" s="52"/>
      <c r="T14" s="52"/>
    </row>
    <row r="15" spans="1:20" ht="13.5" customHeight="1">
      <c r="A15" s="180" t="s">
        <v>348</v>
      </c>
      <c r="B15" s="257">
        <v>2.52</v>
      </c>
      <c r="C15" s="158">
        <v>1.9008269182398112</v>
      </c>
      <c r="D15" s="195">
        <v>1.209999699567506</v>
      </c>
      <c r="E15" s="195">
        <v>8.2104140119031457E-2</v>
      </c>
      <c r="F15" s="305">
        <v>6.7854678103125314</v>
      </c>
      <c r="G15" s="196">
        <f t="shared" si="2"/>
        <v>0.3968253968253968</v>
      </c>
      <c r="H15" s="196">
        <f t="shared" si="3"/>
        <v>1.5747039556563366E-3</v>
      </c>
      <c r="J15" s="123" t="s">
        <v>471</v>
      </c>
      <c r="K15" s="123"/>
      <c r="L15" s="123"/>
      <c r="M15" s="123"/>
      <c r="N15" s="123"/>
      <c r="O15" s="123"/>
      <c r="P15" s="123"/>
      <c r="Q15" s="52"/>
      <c r="R15" s="52"/>
      <c r="S15" s="52"/>
      <c r="T15" s="52"/>
    </row>
    <row r="16" spans="1:20" ht="15.75" customHeight="1">
      <c r="A16" s="180" t="s">
        <v>350</v>
      </c>
      <c r="B16" s="257">
        <v>3.1</v>
      </c>
      <c r="C16" s="158">
        <v>2.3383188279934188</v>
      </c>
      <c r="D16" s="158">
        <v>1.1974414979170156</v>
      </c>
      <c r="E16" s="158">
        <v>7.1066063882303465E-2</v>
      </c>
      <c r="F16" s="305">
        <v>5.9348255431204748</v>
      </c>
      <c r="G16" s="196">
        <f t="shared" si="2"/>
        <v>0.32258064516129031</v>
      </c>
      <c r="H16" s="196">
        <f t="shared" si="3"/>
        <v>1.0405827263267429E-3</v>
      </c>
      <c r="J16" s="123" t="s">
        <v>472</v>
      </c>
      <c r="K16" s="123"/>
      <c r="L16" s="312"/>
      <c r="M16" s="312"/>
      <c r="N16" s="312"/>
      <c r="O16" s="312"/>
      <c r="P16" s="52"/>
      <c r="Q16" s="52"/>
      <c r="R16" s="52"/>
      <c r="S16" s="52"/>
      <c r="T16" s="52"/>
    </row>
    <row r="17" spans="1:20" ht="15.75" customHeight="1">
      <c r="A17" s="180" t="s">
        <v>352</v>
      </c>
      <c r="B17" s="257">
        <v>3.66</v>
      </c>
      <c r="C17" s="158">
        <v>2.7607248098244881</v>
      </c>
      <c r="D17" s="158">
        <v>1.2315606350551664</v>
      </c>
      <c r="E17" s="158">
        <v>6.4721181898509825E-2</v>
      </c>
      <c r="F17" s="305">
        <v>5.2552168408346951</v>
      </c>
      <c r="G17" s="308">
        <f t="shared" si="2"/>
        <v>0.27322404371584696</v>
      </c>
      <c r="H17" s="308">
        <f t="shared" si="3"/>
        <v>7.4651378064439057E-4</v>
      </c>
      <c r="J17" s="123" t="s">
        <v>473</v>
      </c>
      <c r="K17" s="123"/>
      <c r="L17" s="312"/>
      <c r="M17" s="312"/>
      <c r="N17" s="312"/>
      <c r="O17" s="123"/>
      <c r="P17" s="312"/>
      <c r="Q17" s="52"/>
      <c r="R17" s="52"/>
      <c r="S17" s="52"/>
      <c r="T17" s="52"/>
    </row>
    <row r="18" spans="1:20" ht="13.5" customHeight="1">
      <c r="A18" s="180" t="s">
        <v>353</v>
      </c>
      <c r="B18" s="257">
        <v>4.2699999999999996</v>
      </c>
      <c r="C18" s="158">
        <v>3.2208456114619022</v>
      </c>
      <c r="D18" s="158">
        <v>1.2108621369870125</v>
      </c>
      <c r="E18" s="158">
        <v>5.859496199521097E-2</v>
      </c>
      <c r="F18" s="305">
        <v>4.839110928103902</v>
      </c>
      <c r="G18" s="308">
        <f t="shared" si="2"/>
        <v>0.23419203747072601</v>
      </c>
      <c r="H18" s="308">
        <f t="shared" si="3"/>
        <v>5.4845910414689939E-4</v>
      </c>
      <c r="J18" s="123"/>
      <c r="K18" s="123" t="s">
        <v>474</v>
      </c>
      <c r="L18" s="312"/>
      <c r="M18" s="312"/>
      <c r="N18" s="312"/>
      <c r="O18" s="312"/>
      <c r="P18" s="312"/>
      <c r="Q18" s="52"/>
      <c r="R18" s="52"/>
      <c r="S18" s="52"/>
      <c r="T18" s="52"/>
    </row>
    <row r="19" spans="1:20" ht="17.25" customHeight="1">
      <c r="A19" s="24" t="s">
        <v>136</v>
      </c>
      <c r="B19" s="24" t="s">
        <v>136</v>
      </c>
      <c r="C19" s="310" t="s">
        <v>475</v>
      </c>
      <c r="D19" s="153">
        <f>AVERAGE(D13:D18)</f>
        <v>1.2178612845375756</v>
      </c>
      <c r="E19" s="24" t="s">
        <v>136</v>
      </c>
      <c r="F19" s="24" t="s">
        <v>136</v>
      </c>
      <c r="G19" s="24" t="s">
        <v>136</v>
      </c>
      <c r="H19" s="24"/>
      <c r="J19" s="123" t="s">
        <v>476</v>
      </c>
      <c r="K19" s="53"/>
      <c r="L19" s="53"/>
      <c r="M19" s="53"/>
      <c r="N19" s="53"/>
      <c r="O19" s="53"/>
      <c r="P19" s="53"/>
      <c r="Q19" s="53"/>
      <c r="R19" s="53"/>
      <c r="S19" s="53"/>
      <c r="T19" s="52"/>
    </row>
    <row r="20" spans="1:20" ht="12.75" customHeight="1">
      <c r="A20" s="313" t="s">
        <v>363</v>
      </c>
      <c r="J20" s="53" t="s">
        <v>477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</row>
    <row r="21" spans="1:20" ht="13.5" customHeight="1">
      <c r="A21" s="74" t="s">
        <v>478</v>
      </c>
      <c r="B21" s="301" t="s">
        <v>479</v>
      </c>
      <c r="C21" s="301" t="s">
        <v>480</v>
      </c>
      <c r="D21" s="302" t="s">
        <v>481</v>
      </c>
      <c r="E21" s="302" t="s">
        <v>482</v>
      </c>
      <c r="F21" s="302" t="s">
        <v>483</v>
      </c>
      <c r="G21" s="301" t="s">
        <v>484</v>
      </c>
      <c r="H21" s="303" t="s">
        <v>485</v>
      </c>
    </row>
    <row r="22" spans="1:20" ht="12.75" customHeight="1">
      <c r="A22" s="180" t="s">
        <v>365</v>
      </c>
      <c r="B22" s="257">
        <v>1.44</v>
      </c>
      <c r="C22" s="158">
        <v>1.0423050442374071</v>
      </c>
      <c r="D22" s="159">
        <v>2.8782360946885013</v>
      </c>
      <c r="E22" s="159">
        <v>0.17589220578651954</v>
      </c>
      <c r="F22" s="305">
        <v>6.1111111111111116</v>
      </c>
      <c r="G22" s="184">
        <f t="shared" ref="G22:G27" si="4">1/B22</f>
        <v>0.69444444444444442</v>
      </c>
      <c r="H22" s="196">
        <f t="shared" ref="H22:H27" si="5">0.01/(B22^2)</f>
        <v>4.8225308641975315E-3</v>
      </c>
      <c r="J22" s="53" t="s">
        <v>486</v>
      </c>
      <c r="K22" s="53"/>
      <c r="L22" s="52"/>
      <c r="M22" s="52"/>
      <c r="N22" s="1"/>
      <c r="O22" s="1"/>
      <c r="P22" s="1"/>
    </row>
    <row r="23" spans="1:20" ht="12.75" customHeight="1">
      <c r="A23" s="180" t="s">
        <v>366</v>
      </c>
      <c r="B23" s="257">
        <v>2.1</v>
      </c>
      <c r="C23" s="158">
        <v>1.5200281895128855</v>
      </c>
      <c r="D23" s="159">
        <v>2.8288949044938407</v>
      </c>
      <c r="E23" s="159">
        <v>0.13819449221980573</v>
      </c>
      <c r="F23" s="305">
        <v>4.885105204872648</v>
      </c>
      <c r="G23" s="184">
        <f t="shared" si="4"/>
        <v>0.47619047619047616</v>
      </c>
      <c r="H23" s="196">
        <f t="shared" si="5"/>
        <v>2.2675736961451248E-3</v>
      </c>
      <c r="J23" s="53" t="s">
        <v>487</v>
      </c>
      <c r="K23" s="52"/>
      <c r="L23" s="52"/>
      <c r="M23" s="52"/>
    </row>
    <row r="24" spans="1:20" ht="12.75" customHeight="1">
      <c r="A24" s="180" t="s">
        <v>367</v>
      </c>
      <c r="B24" s="257">
        <v>2.97</v>
      </c>
      <c r="C24" s="158">
        <v>2.1497541537396523</v>
      </c>
      <c r="D24" s="159">
        <v>2.8375337660767443</v>
      </c>
      <c r="E24" s="159">
        <v>0.1151862195224963</v>
      </c>
      <c r="F24" s="305">
        <v>4.0593779323287515</v>
      </c>
      <c r="G24" s="184">
        <f t="shared" si="4"/>
        <v>0.33670033670033667</v>
      </c>
      <c r="H24" s="196">
        <f t="shared" si="5"/>
        <v>1.1336711673412007E-3</v>
      </c>
      <c r="J24" s="314" t="s">
        <v>488</v>
      </c>
      <c r="K24" s="314" t="s">
        <v>489</v>
      </c>
      <c r="L24" s="314" t="s">
        <v>490</v>
      </c>
      <c r="M24" s="315" t="s">
        <v>491</v>
      </c>
      <c r="N24" s="315" t="s">
        <v>492</v>
      </c>
      <c r="O24" s="315" t="s">
        <v>493</v>
      </c>
      <c r="P24" s="315" t="s">
        <v>494</v>
      </c>
      <c r="Q24" s="315" t="s">
        <v>494</v>
      </c>
      <c r="R24" s="315" t="s">
        <v>495</v>
      </c>
    </row>
    <row r="25" spans="1:20" ht="12.75" customHeight="1">
      <c r="A25" s="180" t="s">
        <v>368</v>
      </c>
      <c r="B25" s="257">
        <v>3.61</v>
      </c>
      <c r="C25" s="158">
        <v>2.6130008400673885</v>
      </c>
      <c r="D25" s="159">
        <v>2.831992966297384</v>
      </c>
      <c r="E25" s="159">
        <v>0.10511488454708338</v>
      </c>
      <c r="F25" s="305">
        <v>3.7116929949339927</v>
      </c>
      <c r="G25" s="307">
        <f t="shared" si="4"/>
        <v>0.2770083102493075</v>
      </c>
      <c r="H25" s="308">
        <f t="shared" si="5"/>
        <v>7.6733603947176589E-4</v>
      </c>
      <c r="J25" s="255">
        <v>0</v>
      </c>
      <c r="K25" s="316">
        <f>D10</f>
        <v>0.74859591405153703</v>
      </c>
      <c r="L25" s="316">
        <f>D19</f>
        <v>1.2178612845375756</v>
      </c>
      <c r="M25" s="316">
        <f>D28</f>
        <v>2.83402122875103</v>
      </c>
      <c r="N25" s="317">
        <v>4.5203607875210281</v>
      </c>
      <c r="O25" s="317">
        <v>7.9448573280799168</v>
      </c>
      <c r="P25" s="317"/>
      <c r="Q25" s="317">
        <v>9.0901448667455824</v>
      </c>
      <c r="R25" s="317">
        <v>10.792784774341236</v>
      </c>
    </row>
    <row r="26" spans="1:20" ht="12.75" customHeight="1">
      <c r="A26" s="180" t="s">
        <v>369</v>
      </c>
      <c r="B26" s="257">
        <v>4.24</v>
      </c>
      <c r="C26" s="158">
        <v>3.0690092969212546</v>
      </c>
      <c r="D26" s="158">
        <v>2.8022072167155967</v>
      </c>
      <c r="E26" s="158">
        <v>9.7572101145145057E-2</v>
      </c>
      <c r="F26" s="305">
        <v>3.4819730876115256</v>
      </c>
      <c r="G26" s="307">
        <f t="shared" si="4"/>
        <v>0.23584905660377356</v>
      </c>
      <c r="H26" s="308">
        <f t="shared" si="5"/>
        <v>5.5624777500889989E-4</v>
      </c>
      <c r="J26" s="255">
        <v>5</v>
      </c>
      <c r="K26" s="316">
        <f>D10</f>
        <v>0.74859591405153703</v>
      </c>
      <c r="L26" s="316">
        <f>D19</f>
        <v>1.2178612845375756</v>
      </c>
      <c r="M26" s="316">
        <f>D28</f>
        <v>2.83402122875103</v>
      </c>
      <c r="N26" s="317">
        <v>4.5203607875210281</v>
      </c>
      <c r="O26" s="317">
        <v>7.9448573280799168</v>
      </c>
      <c r="P26" s="317"/>
      <c r="Q26" s="317">
        <v>9.0901448667455824</v>
      </c>
      <c r="R26" s="317">
        <v>10.792784774341236</v>
      </c>
    </row>
    <row r="27" spans="1:20" ht="13.5" customHeight="1">
      <c r="A27" s="180" t="s">
        <v>496</v>
      </c>
      <c r="B27" s="257">
        <v>4.8899999999999997</v>
      </c>
      <c r="C27" s="158">
        <v>3.5394942127228615</v>
      </c>
      <c r="D27" s="158">
        <v>2.8252624242341118</v>
      </c>
      <c r="E27" s="158">
        <v>9.2889890849946699E-2</v>
      </c>
      <c r="F27" s="305">
        <v>3.287832310838446</v>
      </c>
      <c r="G27" s="307">
        <f t="shared" si="4"/>
        <v>0.20449897750511248</v>
      </c>
      <c r="H27" s="308">
        <f t="shared" si="5"/>
        <v>4.1819831800636505E-4</v>
      </c>
      <c r="J27" s="318" t="s">
        <v>497</v>
      </c>
      <c r="K27" s="161"/>
      <c r="L27" s="319"/>
      <c r="M27" s="320"/>
      <c r="N27" s="44"/>
      <c r="O27" s="44"/>
      <c r="P27" s="44"/>
      <c r="Q27" s="44"/>
    </row>
    <row r="28" spans="1:20" ht="15" customHeight="1">
      <c r="A28" s="24" t="s">
        <v>136</v>
      </c>
      <c r="B28" s="24" t="s">
        <v>136</v>
      </c>
      <c r="C28" s="310" t="s">
        <v>498</v>
      </c>
      <c r="D28" s="153">
        <f>AVERAGE(D22:D27)</f>
        <v>2.83402122875103</v>
      </c>
      <c r="E28" s="24" t="s">
        <v>136</v>
      </c>
      <c r="F28" s="24" t="s">
        <v>136</v>
      </c>
      <c r="G28" s="24" t="s">
        <v>136</v>
      </c>
      <c r="H28" s="24" t="s">
        <v>136</v>
      </c>
    </row>
    <row r="29" spans="1:20" ht="12.75" customHeight="1">
      <c r="A29" s="321" t="s">
        <v>380</v>
      </c>
    </row>
    <row r="30" spans="1:20" ht="13.5" customHeight="1">
      <c r="A30" s="74" t="s">
        <v>499</v>
      </c>
      <c r="B30" s="301" t="s">
        <v>500</v>
      </c>
      <c r="C30" s="301" t="s">
        <v>501</v>
      </c>
      <c r="D30" s="302" t="s">
        <v>502</v>
      </c>
      <c r="E30" s="302" t="s">
        <v>503</v>
      </c>
      <c r="F30" s="302" t="s">
        <v>504</v>
      </c>
      <c r="G30" s="301" t="s">
        <v>505</v>
      </c>
      <c r="H30" s="303" t="s">
        <v>506</v>
      </c>
    </row>
    <row r="31" spans="1:20" ht="12.75" customHeight="1">
      <c r="A31" s="180" t="s">
        <v>381</v>
      </c>
      <c r="B31" s="257">
        <v>1.1100000000000001</v>
      </c>
      <c r="C31" s="158">
        <v>0.85444330133988144</v>
      </c>
      <c r="D31" s="159">
        <v>4.5643754171684394</v>
      </c>
      <c r="E31" s="159">
        <v>0.250365370747894</v>
      </c>
      <c r="F31" s="305">
        <v>5.4852054852054852</v>
      </c>
      <c r="G31" s="184">
        <f t="shared" ref="G31:G35" si="6">1/B31</f>
        <v>0.9009009009009008</v>
      </c>
      <c r="H31" s="196">
        <f t="shared" ref="H31:H35" si="7">0.01/(B31^2)</f>
        <v>8.1162243324405473E-3</v>
      </c>
    </row>
    <row r="32" spans="1:20" ht="12.75" customHeight="1">
      <c r="A32" s="180" t="s">
        <v>382</v>
      </c>
      <c r="B32" s="257">
        <v>1.77</v>
      </c>
      <c r="C32" s="158">
        <v>1.3624906697041352</v>
      </c>
      <c r="D32" s="159">
        <v>4.4770948789870353</v>
      </c>
      <c r="E32" s="159">
        <v>0.18913568055804741</v>
      </c>
      <c r="F32" s="305">
        <v>4.2245180339095318</v>
      </c>
      <c r="G32" s="184">
        <f t="shared" si="6"/>
        <v>0.56497175141242939</v>
      </c>
      <c r="H32" s="196">
        <f t="shared" si="7"/>
        <v>3.1919307989402789E-3</v>
      </c>
    </row>
    <row r="33" spans="1:16" ht="12.75" customHeight="1">
      <c r="A33" s="180" t="s">
        <v>383</v>
      </c>
      <c r="B33" s="257">
        <v>2.72</v>
      </c>
      <c r="C33" s="158">
        <v>2.0937709726526825</v>
      </c>
      <c r="D33" s="159">
        <v>4.5850286995990652</v>
      </c>
      <c r="E33" s="159">
        <v>0.15724428119725703</v>
      </c>
      <c r="F33" s="305">
        <v>3.4295157456922167</v>
      </c>
      <c r="G33" s="184">
        <f t="shared" si="6"/>
        <v>0.36764705882352938</v>
      </c>
      <c r="H33" s="196">
        <f t="shared" si="7"/>
        <v>1.3516435986159166E-3</v>
      </c>
    </row>
    <row r="34" spans="1:16" ht="12.75" customHeight="1">
      <c r="A34" s="180" t="s">
        <v>384</v>
      </c>
      <c r="B34" s="257">
        <v>3.49</v>
      </c>
      <c r="C34" s="158">
        <v>2.6864929024109783</v>
      </c>
      <c r="D34" s="159">
        <v>4.5040133882880991</v>
      </c>
      <c r="E34" s="159">
        <v>0.141118903091174</v>
      </c>
      <c r="F34" s="305">
        <v>3.1331812524831539</v>
      </c>
      <c r="G34" s="307">
        <f t="shared" si="6"/>
        <v>0.28653295128939826</v>
      </c>
      <c r="H34" s="308">
        <f t="shared" si="7"/>
        <v>8.2101132174612677E-4</v>
      </c>
    </row>
    <row r="35" spans="1:16" ht="12.75" customHeight="1">
      <c r="A35" s="180" t="s">
        <v>385</v>
      </c>
      <c r="B35" s="257">
        <v>4.3</v>
      </c>
      <c r="C35" s="158">
        <v>3.3100055817671077</v>
      </c>
      <c r="D35" s="159">
        <v>4.4712915535625006</v>
      </c>
      <c r="E35" s="159">
        <v>0.13093890416030013</v>
      </c>
      <c r="F35" s="305">
        <v>2.9284358354125795</v>
      </c>
      <c r="G35" s="307">
        <f t="shared" si="6"/>
        <v>0.23255813953488372</v>
      </c>
      <c r="H35" s="308">
        <f t="shared" si="7"/>
        <v>5.4083288263926451E-4</v>
      </c>
    </row>
    <row r="36" spans="1:16" ht="12.75" customHeight="1">
      <c r="A36" s="180" t="s">
        <v>386</v>
      </c>
      <c r="B36" s="76" t="s">
        <v>249</v>
      </c>
      <c r="C36" s="76" t="s">
        <v>249</v>
      </c>
      <c r="D36" s="76" t="s">
        <v>249</v>
      </c>
      <c r="E36" s="76" t="s">
        <v>249</v>
      </c>
      <c r="F36" s="76" t="s">
        <v>249</v>
      </c>
      <c r="G36" s="76" t="s">
        <v>249</v>
      </c>
      <c r="H36" s="76" t="s">
        <v>249</v>
      </c>
    </row>
    <row r="37" spans="1:16" ht="15" customHeight="1">
      <c r="A37" s="24" t="s">
        <v>136</v>
      </c>
      <c r="B37" s="24" t="s">
        <v>136</v>
      </c>
      <c r="C37" s="310" t="s">
        <v>507</v>
      </c>
      <c r="D37" s="153">
        <f>AVERAGE(D31:D35)</f>
        <v>4.5203607875210281</v>
      </c>
      <c r="E37" s="24" t="s">
        <v>136</v>
      </c>
      <c r="F37" s="24" t="s">
        <v>136</v>
      </c>
      <c r="G37" s="24" t="s">
        <v>136</v>
      </c>
      <c r="H37" s="24" t="s">
        <v>136</v>
      </c>
    </row>
    <row r="38" spans="1:16" ht="13.5" customHeight="1">
      <c r="A38" s="216" t="s">
        <v>399</v>
      </c>
      <c r="B38" s="24"/>
      <c r="C38" s="322"/>
      <c r="D38" s="323"/>
      <c r="E38" s="24"/>
      <c r="F38" s="24"/>
      <c r="G38" s="24"/>
      <c r="H38" s="24"/>
    </row>
    <row r="39" spans="1:16" ht="13.5" customHeight="1">
      <c r="A39" s="74" t="s">
        <v>508</v>
      </c>
      <c r="B39" s="301" t="s">
        <v>509</v>
      </c>
      <c r="C39" s="301" t="s">
        <v>510</v>
      </c>
      <c r="D39" s="302" t="s">
        <v>511</v>
      </c>
      <c r="E39" s="302" t="s">
        <v>512</v>
      </c>
      <c r="F39" s="302" t="s">
        <v>513</v>
      </c>
      <c r="G39" s="301" t="s">
        <v>514</v>
      </c>
      <c r="H39" s="303" t="s">
        <v>515</v>
      </c>
    </row>
    <row r="40" spans="1:16" ht="12.75" customHeight="1">
      <c r="A40" s="180" t="s">
        <v>401</v>
      </c>
      <c r="B40" s="257">
        <v>1.27</v>
      </c>
      <c r="C40" s="158">
        <v>0.9776062997312156</v>
      </c>
      <c r="D40" s="159">
        <v>7.7740906560131151</v>
      </c>
      <c r="E40" s="159">
        <v>0.32055631526367362</v>
      </c>
      <c r="F40" s="305">
        <v>4.1233930686893814</v>
      </c>
      <c r="G40" s="184">
        <f t="shared" ref="G40:G45" si="8">1/B40</f>
        <v>0.78740157480314954</v>
      </c>
      <c r="H40" s="196">
        <f t="shared" ref="H40:H45" si="9">0.01/(B40^2)</f>
        <v>6.2000124000248001E-3</v>
      </c>
    </row>
    <row r="41" spans="1:16" ht="12.75" customHeight="1">
      <c r="A41" s="180" t="s">
        <v>403</v>
      </c>
      <c r="B41" s="257">
        <v>1.63</v>
      </c>
      <c r="C41" s="158">
        <v>1.2547230461117176</v>
      </c>
      <c r="D41" s="159">
        <v>7.9698862876466396</v>
      </c>
      <c r="E41" s="159">
        <v>0.28960167456698022</v>
      </c>
      <c r="F41" s="305">
        <v>3.6336989527173573</v>
      </c>
      <c r="G41" s="184">
        <f t="shared" si="8"/>
        <v>0.61349693251533743</v>
      </c>
      <c r="H41" s="196">
        <f t="shared" si="9"/>
        <v>3.763784862057285E-3</v>
      </c>
    </row>
    <row r="42" spans="1:16" ht="12.75" customHeight="1">
      <c r="A42" s="180" t="s">
        <v>405</v>
      </c>
      <c r="B42" s="257">
        <v>2.54</v>
      </c>
      <c r="C42" s="158">
        <v>1.9552125994624312</v>
      </c>
      <c r="D42" s="159">
        <v>8.0809626555925806</v>
      </c>
      <c r="E42" s="159">
        <v>0.24621191768799153</v>
      </c>
      <c r="F42" s="305">
        <v>3.0468142000086584</v>
      </c>
      <c r="G42" s="184">
        <f t="shared" si="8"/>
        <v>0.39370078740157477</v>
      </c>
      <c r="H42" s="196">
        <f t="shared" si="9"/>
        <v>1.5500031000062E-3</v>
      </c>
    </row>
    <row r="43" spans="1:16" ht="12.75" customHeight="1">
      <c r="A43" s="180" t="s">
        <v>407</v>
      </c>
      <c r="B43" s="257">
        <v>3.27</v>
      </c>
      <c r="C43" s="158">
        <v>2.5171437796228937</v>
      </c>
      <c r="D43" s="159">
        <v>8.0249686821728812</v>
      </c>
      <c r="E43" s="159">
        <v>0.22638933580186324</v>
      </c>
      <c r="F43" s="305">
        <v>2.8210619227060327</v>
      </c>
      <c r="G43" s="307">
        <f t="shared" si="8"/>
        <v>0.3058103975535168</v>
      </c>
      <c r="H43" s="308">
        <f t="shared" si="9"/>
        <v>9.351999925184001E-4</v>
      </c>
    </row>
    <row r="44" spans="1:16" ht="12.75" customHeight="1">
      <c r="A44" s="180" t="s">
        <v>409</v>
      </c>
      <c r="B44" s="257">
        <v>4.2300000000000004</v>
      </c>
      <c r="C44" s="158">
        <v>3.3222342311712065</v>
      </c>
      <c r="D44" s="159">
        <v>7.8862591186906048</v>
      </c>
      <c r="E44" s="159">
        <v>0.20646904659613416</v>
      </c>
      <c r="F44" s="305">
        <v>2.6180860086983198</v>
      </c>
      <c r="G44" s="307">
        <f t="shared" si="8"/>
        <v>0.23640661938534277</v>
      </c>
      <c r="H44" s="308">
        <f t="shared" si="9"/>
        <v>5.5888089689206321E-4</v>
      </c>
    </row>
    <row r="45" spans="1:16" ht="12.75" customHeight="1">
      <c r="A45" s="180" t="s">
        <v>411</v>
      </c>
      <c r="B45" s="257">
        <v>4.88</v>
      </c>
      <c r="C45" s="158">
        <v>3.7564714509356945</v>
      </c>
      <c r="D45" s="159">
        <v>7.9329765683636859</v>
      </c>
      <c r="E45" s="159">
        <v>0.20313897916104695</v>
      </c>
      <c r="F45" s="305">
        <v>2.5606905227875627</v>
      </c>
      <c r="G45" s="307">
        <f t="shared" si="8"/>
        <v>0.20491803278688525</v>
      </c>
      <c r="H45" s="308">
        <f t="shared" si="9"/>
        <v>4.1991400161246978E-4</v>
      </c>
    </row>
    <row r="46" spans="1:16" ht="12" customHeight="1">
      <c r="A46" s="24" t="s">
        <v>136</v>
      </c>
      <c r="B46" s="24" t="s">
        <v>136</v>
      </c>
      <c r="C46" s="310" t="s">
        <v>516</v>
      </c>
      <c r="D46" s="259">
        <f>AVERAGE(D40:D45)</f>
        <v>7.9448573280799168</v>
      </c>
      <c r="E46" s="24" t="s">
        <v>136</v>
      </c>
      <c r="F46" s="24" t="s">
        <v>136</v>
      </c>
      <c r="G46" s="24" t="s">
        <v>136</v>
      </c>
      <c r="H46" s="24" t="s">
        <v>136</v>
      </c>
    </row>
    <row r="47" spans="1:16" ht="21" customHeight="1">
      <c r="A47" s="324" t="s">
        <v>422</v>
      </c>
      <c r="B47" s="325"/>
      <c r="C47" s="326"/>
      <c r="D47" s="1"/>
      <c r="E47" s="38"/>
      <c r="F47" s="38"/>
      <c r="G47" s="38"/>
      <c r="J47" s="39" t="s">
        <v>66</v>
      </c>
      <c r="K47" s="39"/>
      <c r="L47" s="16"/>
      <c r="M47" s="16"/>
      <c r="N47" s="16"/>
      <c r="O47" s="16"/>
      <c r="P47" s="16"/>
    </row>
    <row r="48" spans="1:16" ht="15" customHeight="1">
      <c r="A48" s="74" t="s">
        <v>517</v>
      </c>
      <c r="B48" s="301" t="s">
        <v>518</v>
      </c>
      <c r="C48" s="301" t="s">
        <v>519</v>
      </c>
      <c r="D48" s="302" t="s">
        <v>520</v>
      </c>
      <c r="E48" s="302" t="s">
        <v>521</v>
      </c>
      <c r="F48" s="302" t="s">
        <v>522</v>
      </c>
      <c r="G48" s="301" t="s">
        <v>523</v>
      </c>
      <c r="H48" s="303" t="s">
        <v>524</v>
      </c>
      <c r="J48" s="327" t="s">
        <v>525</v>
      </c>
      <c r="K48" s="172"/>
    </row>
    <row r="49" spans="1:9" ht="12.75" customHeight="1">
      <c r="A49" s="180" t="s">
        <v>423</v>
      </c>
      <c r="B49" s="257">
        <v>1.2</v>
      </c>
      <c r="C49" s="158">
        <v>0.90515567535229102</v>
      </c>
      <c r="D49" s="159">
        <v>9.2801716088568735</v>
      </c>
      <c r="E49" s="159">
        <v>0.37720425416952258</v>
      </c>
      <c r="F49" s="305">
        <v>4.0646258503401365</v>
      </c>
      <c r="G49" s="196">
        <f t="shared" ref="G49:G54" si="10">1/B49</f>
        <v>0.83333333333333337</v>
      </c>
      <c r="H49" s="196">
        <f t="shared" ref="H49:H54" si="11">0.01/(B49^2)</f>
        <v>6.9444444444444449E-3</v>
      </c>
    </row>
    <row r="50" spans="1:9" ht="12.75" customHeight="1">
      <c r="A50" s="180" t="s">
        <v>424</v>
      </c>
      <c r="B50" s="257">
        <v>1.66</v>
      </c>
      <c r="C50" s="158">
        <v>1.2521320175706694</v>
      </c>
      <c r="D50" s="159">
        <v>9.1843350690063712</v>
      </c>
      <c r="E50" s="159">
        <v>0.32262651247311913</v>
      </c>
      <c r="F50" s="305">
        <v>3.5127911824761338</v>
      </c>
      <c r="G50" s="196">
        <f t="shared" si="10"/>
        <v>0.60240963855421692</v>
      </c>
      <c r="H50" s="196">
        <f t="shared" si="11"/>
        <v>3.6289737262302224E-3</v>
      </c>
    </row>
    <row r="51" spans="1:9" ht="12.75" customHeight="1">
      <c r="A51" s="180" t="s">
        <v>425</v>
      </c>
      <c r="B51" s="257">
        <v>1.99</v>
      </c>
      <c r="C51" s="158">
        <v>1.5010498282925493</v>
      </c>
      <c r="D51" s="159">
        <v>9.1935655565129117</v>
      </c>
      <c r="E51" s="159">
        <v>0.30044264902422146</v>
      </c>
      <c r="F51" s="305">
        <v>3.267966570504103</v>
      </c>
      <c r="G51" s="196">
        <f t="shared" si="10"/>
        <v>0.50251256281407031</v>
      </c>
      <c r="H51" s="196">
        <f t="shared" si="11"/>
        <v>2.5251887578596499E-3</v>
      </c>
    </row>
    <row r="52" spans="1:9" ht="12.75" customHeight="1">
      <c r="A52" s="180" t="s">
        <v>427</v>
      </c>
      <c r="B52" s="257">
        <v>2.78</v>
      </c>
      <c r="C52" s="158">
        <v>2.0969439812328075</v>
      </c>
      <c r="D52" s="159">
        <v>9.2038700951149881</v>
      </c>
      <c r="E52" s="159">
        <v>0.26862997604775968</v>
      </c>
      <c r="F52" s="305">
        <v>2.918663271772346</v>
      </c>
      <c r="G52" s="196">
        <f t="shared" si="10"/>
        <v>0.35971223021582738</v>
      </c>
      <c r="H52" s="196">
        <f t="shared" si="11"/>
        <v>1.2939288856684439E-3</v>
      </c>
    </row>
    <row r="53" spans="1:9" ht="12.75" customHeight="1">
      <c r="A53" s="180" t="s">
        <v>428</v>
      </c>
      <c r="B53" s="257">
        <v>3.4</v>
      </c>
      <c r="C53" s="158">
        <v>2.6703537555513241</v>
      </c>
      <c r="D53" s="159">
        <v>8.8377803693381889</v>
      </c>
      <c r="E53" s="159">
        <v>0.24019730096526323</v>
      </c>
      <c r="F53" s="305">
        <v>2.7178464606181456</v>
      </c>
      <c r="G53" s="308">
        <f t="shared" si="10"/>
        <v>0.29411764705882354</v>
      </c>
      <c r="H53" s="308">
        <f t="shared" si="11"/>
        <v>8.6505190311418699E-4</v>
      </c>
    </row>
    <row r="54" spans="1:9" ht="12.75" customHeight="1">
      <c r="A54" s="180" t="s">
        <v>429</v>
      </c>
      <c r="B54" s="257">
        <v>4.45</v>
      </c>
      <c r="C54" s="158">
        <v>3.4950218271186451</v>
      </c>
      <c r="D54" s="159">
        <v>8.8411465016441628</v>
      </c>
      <c r="E54" s="159">
        <v>0.2253027995811884</v>
      </c>
      <c r="F54" s="305">
        <v>2.548343696592851</v>
      </c>
      <c r="G54" s="308">
        <f t="shared" si="10"/>
        <v>0.2247191011235955</v>
      </c>
      <c r="H54" s="308">
        <f t="shared" si="11"/>
        <v>5.049867440979674E-4</v>
      </c>
    </row>
    <row r="55" spans="1:9" ht="15" customHeight="1">
      <c r="A55" s="24" t="s">
        <v>136</v>
      </c>
      <c r="B55" s="24" t="s">
        <v>136</v>
      </c>
      <c r="C55" s="310" t="s">
        <v>526</v>
      </c>
      <c r="D55" s="259">
        <f>AVERAGE(D49:D54)</f>
        <v>9.0901448667455824</v>
      </c>
      <c r="E55" s="24" t="s">
        <v>136</v>
      </c>
      <c r="F55" s="24" t="s">
        <v>136</v>
      </c>
      <c r="G55" s="24" t="s">
        <v>136</v>
      </c>
      <c r="H55" s="24" t="s">
        <v>136</v>
      </c>
    </row>
    <row r="56" spans="1:9" ht="12.75" customHeight="1">
      <c r="A56" s="328" t="s">
        <v>439</v>
      </c>
    </row>
    <row r="57" spans="1:9" ht="13.5" customHeight="1">
      <c r="A57" s="74" t="s">
        <v>527</v>
      </c>
      <c r="B57" s="301" t="s">
        <v>528</v>
      </c>
      <c r="C57" s="301" t="s">
        <v>529</v>
      </c>
      <c r="D57" s="302" t="s">
        <v>530</v>
      </c>
      <c r="E57" s="302" t="s">
        <v>531</v>
      </c>
      <c r="F57" s="302" t="s">
        <v>532</v>
      </c>
      <c r="G57" s="301" t="s">
        <v>533</v>
      </c>
      <c r="H57" s="303" t="s">
        <v>534</v>
      </c>
    </row>
    <row r="58" spans="1:9" ht="12.75" customHeight="1">
      <c r="A58" s="180" t="s">
        <v>440</v>
      </c>
      <c r="B58" s="257">
        <v>1.03</v>
      </c>
      <c r="C58" s="158">
        <v>0.80896010829937171</v>
      </c>
      <c r="D58" s="158">
        <v>10.878163100649935</v>
      </c>
      <c r="E58" s="158">
        <v>0.44679198578000423</v>
      </c>
      <c r="F58" s="305">
        <v>4.1072374227714041</v>
      </c>
      <c r="G58" s="196">
        <f t="shared" ref="G58:G63" si="12">1/B58</f>
        <v>0.970873786407767</v>
      </c>
      <c r="H58" s="196">
        <f t="shared" ref="H58:H63" si="13">0.01/(B58^2)</f>
        <v>9.4259590913375445E-3</v>
      </c>
    </row>
    <row r="59" spans="1:9" ht="12.75" customHeight="1">
      <c r="A59" s="180" t="s">
        <v>441</v>
      </c>
      <c r="B59" s="257">
        <v>1.38</v>
      </c>
      <c r="C59" s="158">
        <v>1.1498558979367268</v>
      </c>
      <c r="D59" s="158">
        <v>10.870927411364931</v>
      </c>
      <c r="E59" s="158">
        <v>0.37682822475787525</v>
      </c>
      <c r="F59" s="305">
        <v>3.4663852539749547</v>
      </c>
      <c r="G59" s="196">
        <f t="shared" si="12"/>
        <v>0.7246376811594204</v>
      </c>
      <c r="H59" s="196">
        <f t="shared" si="13"/>
        <v>5.250997689561018E-3</v>
      </c>
    </row>
    <row r="60" spans="1:9" ht="12.75" customHeight="1">
      <c r="A60" s="180" t="s">
        <v>442</v>
      </c>
      <c r="B60" s="257">
        <v>1.67</v>
      </c>
      <c r="C60" s="158">
        <v>1.3379783930245008</v>
      </c>
      <c r="D60" s="158">
        <v>11.210943374124669</v>
      </c>
      <c r="E60" s="158">
        <v>0.36386989863955083</v>
      </c>
      <c r="F60" s="305">
        <v>3.2456670816782278</v>
      </c>
      <c r="G60" s="196">
        <f t="shared" si="12"/>
        <v>0.5988023952095809</v>
      </c>
      <c r="H60" s="196">
        <f t="shared" si="13"/>
        <v>3.5856430850873104E-3</v>
      </c>
      <c r="I60" s="82"/>
    </row>
    <row r="61" spans="1:9" ht="12.75" customHeight="1">
      <c r="A61" s="180" t="s">
        <v>443</v>
      </c>
      <c r="B61" s="257">
        <v>2.35</v>
      </c>
      <c r="C61" s="158">
        <v>1.8089565388727218</v>
      </c>
      <c r="D61" s="158">
        <v>10.061048791886178</v>
      </c>
      <c r="E61" s="158">
        <v>0.30134697239719638</v>
      </c>
      <c r="F61" s="305">
        <v>2.9951844845461872</v>
      </c>
      <c r="G61" s="196">
        <f t="shared" si="12"/>
        <v>0.42553191489361702</v>
      </c>
      <c r="H61" s="196">
        <f t="shared" si="13"/>
        <v>1.810774105930285E-3</v>
      </c>
      <c r="I61" s="1"/>
    </row>
    <row r="62" spans="1:9" ht="12.75" customHeight="1">
      <c r="A62" s="180" t="s">
        <v>444</v>
      </c>
      <c r="B62" s="257">
        <v>2.98</v>
      </c>
      <c r="C62" s="158">
        <v>2.4830221564140915</v>
      </c>
      <c r="D62" s="158">
        <v>11.357127815857117</v>
      </c>
      <c r="E62" s="158">
        <v>0.29891142376637952</v>
      </c>
      <c r="F62" s="305">
        <v>2.6319279716922055</v>
      </c>
      <c r="G62" s="196">
        <f t="shared" si="12"/>
        <v>0.33557046979865773</v>
      </c>
      <c r="H62" s="196">
        <f t="shared" si="13"/>
        <v>1.1260754020089186E-3</v>
      </c>
      <c r="I62" s="1"/>
    </row>
    <row r="63" spans="1:9" ht="12.75" customHeight="1">
      <c r="A63" s="180" t="s">
        <v>445</v>
      </c>
      <c r="B63" s="257">
        <v>4.0999999999999996</v>
      </c>
      <c r="C63" s="158">
        <v>2.9676740842870619</v>
      </c>
      <c r="D63" s="158">
        <v>10.378498152164585</v>
      </c>
      <c r="E63" s="158">
        <v>0.27522854420262255</v>
      </c>
      <c r="F63" s="305">
        <v>2.6519110970330488</v>
      </c>
      <c r="G63" s="196">
        <f t="shared" si="12"/>
        <v>0.24390243902439027</v>
      </c>
      <c r="H63" s="196">
        <f t="shared" si="13"/>
        <v>5.9488399762046404E-4</v>
      </c>
      <c r="I63" s="1"/>
    </row>
    <row r="64" spans="1:9" ht="16.5" customHeight="1">
      <c r="A64" s="24" t="s">
        <v>136</v>
      </c>
      <c r="B64" s="24" t="s">
        <v>136</v>
      </c>
      <c r="C64" s="310" t="s">
        <v>535</v>
      </c>
      <c r="D64" s="153">
        <f>AVERAGE(D58:D63)</f>
        <v>10.792784774341236</v>
      </c>
      <c r="E64" s="24" t="s">
        <v>136</v>
      </c>
      <c r="F64" s="24" t="s">
        <v>136</v>
      </c>
      <c r="G64" s="24" t="s">
        <v>136</v>
      </c>
      <c r="H64" s="24" t="s">
        <v>136</v>
      </c>
    </row>
    <row r="65" spans="2:8" ht="12.75" customHeight="1">
      <c r="B65" s="62"/>
      <c r="C65" s="62"/>
      <c r="D65" s="1"/>
      <c r="E65" s="1"/>
      <c r="F65" s="1"/>
      <c r="G65" s="1"/>
      <c r="H65" s="1"/>
    </row>
    <row r="66" spans="2:8" ht="12.75" customHeight="1">
      <c r="B66" s="62"/>
      <c r="C66" s="62"/>
      <c r="D66" s="1"/>
      <c r="E66" s="1"/>
      <c r="F66" s="62"/>
      <c r="G66" s="1"/>
      <c r="H66" s="1"/>
    </row>
    <row r="67" spans="2:8" ht="12.75" customHeight="1">
      <c r="B67" s="62"/>
      <c r="C67" s="62"/>
      <c r="D67" s="1"/>
      <c r="E67" s="1"/>
      <c r="F67" s="1"/>
      <c r="G67" s="1"/>
      <c r="H67" s="1"/>
    </row>
    <row r="68" spans="2:8" ht="12.75" customHeight="1">
      <c r="B68" s="62"/>
      <c r="C68" s="55"/>
      <c r="D68" s="1"/>
      <c r="E68" s="1"/>
      <c r="F68" s="1"/>
      <c r="G68" s="1"/>
      <c r="H68" s="1"/>
    </row>
    <row r="69" spans="2:8" ht="12.75" customHeight="1">
      <c r="B69" s="62"/>
      <c r="C69" s="1"/>
      <c r="D69" s="1"/>
      <c r="E69" s="1"/>
      <c r="F69" s="1"/>
      <c r="G69" s="1"/>
      <c r="H69" s="1"/>
    </row>
    <row r="70" spans="2:8" ht="12.75" customHeight="1">
      <c r="B70" s="62"/>
      <c r="C70" s="1"/>
      <c r="D70" s="1"/>
      <c r="E70" s="1"/>
      <c r="F70" s="1"/>
      <c r="G70" s="1"/>
      <c r="H70" s="1"/>
    </row>
    <row r="71" spans="2:8" ht="12.75" customHeight="1"/>
    <row r="72" spans="2:8" ht="12.75" customHeight="1"/>
    <row r="73" spans="2:8" ht="12.75" customHeight="1"/>
    <row r="74" spans="2:8" ht="12.75" customHeight="1"/>
    <row r="75" spans="2:8" ht="12.75" customHeight="1"/>
    <row r="76" spans="2:8" ht="12.75" customHeight="1"/>
    <row r="77" spans="2:8" ht="12.75" customHeight="1"/>
    <row r="78" spans="2:8" ht="12.75" customHeight="1"/>
    <row r="79" spans="2:8" ht="12.75" customHeight="1"/>
    <row r="80" spans="2:8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Gráficos</vt:lpstr>
      </vt:variant>
      <vt:variant>
        <vt:i4>7</vt:i4>
      </vt:variant>
    </vt:vector>
  </HeadingPairs>
  <TitlesOfParts>
    <vt:vector size="14" baseType="lpstr">
      <vt:lpstr>Hoja1</vt:lpstr>
      <vt:lpstr>Hoja2</vt:lpstr>
      <vt:lpstr>Hoja3</vt:lpstr>
      <vt:lpstr>Hoja4</vt:lpstr>
      <vt:lpstr>Hoja5</vt:lpstr>
      <vt:lpstr>Hoja6</vt:lpstr>
      <vt:lpstr>Hoja7</vt:lpstr>
      <vt:lpstr>Gráfico1</vt:lpstr>
      <vt:lpstr>Gráfico2</vt:lpstr>
      <vt:lpstr>Gráfico 3</vt:lpstr>
      <vt:lpstr>Gráfico4</vt:lpstr>
      <vt:lpstr>Gráfico5</vt:lpstr>
      <vt:lpstr>Gráfico6</vt:lpstr>
      <vt:lpstr>Gráfico7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</dc:creator>
  <cp:lastModifiedBy>Víctor Trespalacios Mori</cp:lastModifiedBy>
  <dcterms:created xsi:type="dcterms:W3CDTF">2005-10-29T17:42:57Z</dcterms:created>
  <dcterms:modified xsi:type="dcterms:W3CDTF">2023-12-17T09:57:25Z</dcterms:modified>
</cp:coreProperties>
</file>