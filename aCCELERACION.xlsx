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Tec-I\Desktop\"/>
    </mc:Choice>
  </mc:AlternateContent>
  <bookViews>
    <workbookView xWindow="0" yWindow="0" windowWidth="14370" windowHeight="7365" activeTab="3"/>
  </bookViews>
  <sheets>
    <sheet name="Hoja1" sheetId="1" r:id="rId1"/>
    <sheet name="Gráfico1" sheetId="2" r:id="rId2"/>
    <sheet name="Hoja2" sheetId="3" r:id="rId3"/>
    <sheet name="Gráfico1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8" i="3" l="1"/>
  <c r="AX16" i="3"/>
  <c r="AO14" i="3"/>
  <c r="AF17" i="3"/>
  <c r="W14" i="3"/>
  <c r="N13" i="3"/>
  <c r="E12" i="3"/>
  <c r="BB4" i="3"/>
  <c r="AO8" i="3"/>
  <c r="AS4" i="3"/>
  <c r="AJ4" i="3"/>
  <c r="AF8" i="3"/>
  <c r="AI4" i="3"/>
  <c r="W8" i="3"/>
  <c r="AA4" i="3"/>
  <c r="N8" i="3"/>
  <c r="R4" i="3"/>
  <c r="E8" i="3"/>
  <c r="I4" i="3"/>
  <c r="T5" i="1"/>
  <c r="P5" i="1"/>
  <c r="L5" i="1"/>
  <c r="H5" i="1"/>
  <c r="D5" i="1"/>
</calcChain>
</file>

<file path=xl/sharedStrings.xml><?xml version="1.0" encoding="utf-8"?>
<sst xmlns="http://schemas.openxmlformats.org/spreadsheetml/2006/main" count="114" uniqueCount="52">
  <si>
    <t>Serie N.º 4</t>
  </si>
  <si>
    <t>Velocidad lineal (m/s)</t>
  </si>
  <si>
    <t>Diferencia 10 gramos</t>
  </si>
  <si>
    <t>Automático</t>
  </si>
  <si>
    <t>Tiempo (s)</t>
  </si>
  <si>
    <t>Acceleración</t>
  </si>
  <si>
    <t>0,714 +-8,2*10^-4</t>
  </si>
  <si>
    <t>Serie N.º 5</t>
  </si>
  <si>
    <t>0,55 +-8*10^-4</t>
  </si>
  <si>
    <t>Diferencia 8 gramos</t>
  </si>
  <si>
    <t>Serie N.º 7</t>
  </si>
  <si>
    <t>Diferencia 6 gramos</t>
  </si>
  <si>
    <t>0,407 +- 6,9*10^-4</t>
  </si>
  <si>
    <t>Serie N.º 8</t>
  </si>
  <si>
    <t>Diferencia 4 gramos</t>
  </si>
  <si>
    <t>0,252 +- 6,7*10^-4</t>
  </si>
  <si>
    <t>Serie N.º 9</t>
  </si>
  <si>
    <t>0,0965 +- 6,5*10^-4</t>
  </si>
  <si>
    <t>Diferencia de 2 gramos</t>
  </si>
  <si>
    <t>Serie N.º 11</t>
  </si>
  <si>
    <t>0,582 +- 0,0013</t>
  </si>
  <si>
    <t>Serie N.º 19</t>
  </si>
  <si>
    <t>Acceleración Roz</t>
  </si>
  <si>
    <t>20 g</t>
  </si>
  <si>
    <t>Acceleracion  corregida</t>
  </si>
  <si>
    <t>Serie N.º 20</t>
  </si>
  <si>
    <t>Serie N.º 23</t>
  </si>
  <si>
    <t>Serie N.º 24</t>
  </si>
  <si>
    <t>Serie N.º 26</t>
  </si>
  <si>
    <t>30 g</t>
  </si>
  <si>
    <t>40 g</t>
  </si>
  <si>
    <t>Serie N.º 27</t>
  </si>
  <si>
    <t>Serie N.º 30</t>
  </si>
  <si>
    <t>50 g</t>
  </si>
  <si>
    <t>Serie N.º 31</t>
  </si>
  <si>
    <t>60 g</t>
  </si>
  <si>
    <t>Serie N.º 38</t>
  </si>
  <si>
    <t>70 g</t>
  </si>
  <si>
    <t>Serie N.º 39</t>
  </si>
  <si>
    <t>Serie N.º 43</t>
  </si>
  <si>
    <t>0,39 +-0,0010</t>
  </si>
  <si>
    <t>Acceleración Corregida</t>
  </si>
  <si>
    <t>0,320 +-7,9*10^-4</t>
  </si>
  <si>
    <t>Acceleración corregida</t>
  </si>
  <si>
    <t>Acceleracion</t>
  </si>
  <si>
    <t>Acceleracion Roz</t>
  </si>
  <si>
    <t>0,262 +- 5,1*10^-4</t>
  </si>
  <si>
    <t>0,213 +-6*10^-4</t>
  </si>
  <si>
    <t>Acceleracion corregida</t>
  </si>
  <si>
    <t>0,190 +- 6,5*10^-4</t>
  </si>
  <si>
    <t>M</t>
  </si>
  <si>
    <t>G=PENDIENTE/4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</si>
</sst>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 en función de Amg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777450757264595E-2"/>
                  <c:y val="7.08599124370460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(Hoja1!$D$6,Hoja1!$H$6,Hoja1!$L$6,Hoja1!$P$6,Hoja1!$T$6)</c:f>
              <c:numCache>
                <c:formatCode>General</c:formatCode>
                <c:ptCount val="5"/>
                <c:pt idx="0">
                  <c:v>0.69199999999999995</c:v>
                </c:pt>
                <c:pt idx="1">
                  <c:v>0.55000000000000004</c:v>
                </c:pt>
                <c:pt idx="2">
                  <c:v>0.40699999999999997</c:v>
                </c:pt>
                <c:pt idx="3">
                  <c:v>0.252</c:v>
                </c:pt>
                <c:pt idx="4">
                  <c:v>9.9599999999999994E-2</c:v>
                </c:pt>
              </c:numCache>
            </c:numRef>
          </c:xVal>
          <c:yVal>
            <c:numRef>
              <c:f>(Hoja1!$D$5,Hoja1!$H$5,Hoja1!$L$5,Hoja1!$P$5,Hoja1!$T$5)</c:f>
              <c:numCache>
                <c:formatCode>General</c:formatCode>
                <c:ptCount val="5"/>
                <c:pt idx="0">
                  <c:v>98</c:v>
                </c:pt>
                <c:pt idx="1">
                  <c:v>78.400000000000006</c:v>
                </c:pt>
                <c:pt idx="2">
                  <c:v>58.800000000000004</c:v>
                </c:pt>
                <c:pt idx="3">
                  <c:v>39.200000000000003</c:v>
                </c:pt>
                <c:pt idx="4">
                  <c:v>19.600000000000001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3F1-44B0-B175-F5FA806FA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437696"/>
        <c:axId val="1858440192"/>
      </c:scatterChart>
      <c:valAx>
        <c:axId val="185843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8440192"/>
        <c:crosses val="autoZero"/>
        <c:crossBetween val="midCat"/>
      </c:valAx>
      <c:valAx>
        <c:axId val="18584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843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(Hoja2!$E$12,Hoja2!$N$13,Hoja2!$W$14,Hoja2!$AF$17,Hoja2!$AO$14,Hoja2!$AX$16)</c:f>
              <c:numCache>
                <c:formatCode>General</c:formatCode>
                <c:ptCount val="6"/>
                <c:pt idx="0">
                  <c:v>1.5121729925903524E-2</c:v>
                </c:pt>
                <c:pt idx="1">
                  <c:v>1.1610356437942646E-2</c:v>
                </c:pt>
                <c:pt idx="2">
                  <c:v>9.4224064826156605E-3</c:v>
                </c:pt>
                <c:pt idx="3">
                  <c:v>7.9283279156425919E-3</c:v>
                </c:pt>
                <c:pt idx="4">
                  <c:v>6.8432217888181757E-3</c:v>
                </c:pt>
                <c:pt idx="5">
                  <c:v>6.0193824113645945E-3</c:v>
                </c:pt>
              </c:numCache>
            </c:numRef>
          </c:xVal>
          <c:yVal>
            <c:numRef>
              <c:f>(Hoja2!$E$8,Hoja2!$N$8,Hoja2!$W$8,Hoja2!$AF$8,Hoja2!$AO$8,Hoja2!$AX$8)</c:f>
              <c:numCache>
                <c:formatCode>General</c:formatCode>
                <c:ptCount val="6"/>
                <c:pt idx="0">
                  <c:v>0.68499999999999994</c:v>
                </c:pt>
                <c:pt idx="1">
                  <c:v>0.497</c:v>
                </c:pt>
                <c:pt idx="2">
                  <c:v>0.38390000000000002</c:v>
                </c:pt>
                <c:pt idx="3">
                  <c:v>0.3165</c:v>
                </c:pt>
                <c:pt idx="4">
                  <c:v>0.27210000000000001</c:v>
                </c:pt>
                <c:pt idx="5">
                  <c:v>0.23849999999999999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92-4CD1-80A3-2E62FBF7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437696"/>
        <c:axId val="1858440192"/>
      </c:scatterChart>
      <c:valAx>
        <c:axId val="185843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8440192"/>
        <c:crosses val="autoZero"/>
        <c:crossBetween val="midCat"/>
      </c:valAx>
      <c:valAx>
        <c:axId val="18584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843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77456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9"/>
  <sheetViews>
    <sheetView topLeftCell="A2" workbookViewId="0">
      <selection activeCell="E9" sqref="E9"/>
    </sheetView>
  </sheetViews>
  <sheetFormatPr baseColWidth="10" defaultRowHeight="15" x14ac:dyDescent="0.25"/>
  <cols>
    <col min="2" max="2" width="25" customWidth="1"/>
    <col min="3" max="3" width="15.7109375" customWidth="1"/>
    <col min="4" max="4" width="20.7109375" customWidth="1"/>
    <col min="6" max="6" width="25.28515625" customWidth="1"/>
    <col min="7" max="7" width="13.5703125" customWidth="1"/>
    <col min="10" max="10" width="21.42578125" customWidth="1"/>
    <col min="11" max="11" width="15" customWidth="1"/>
    <col min="12" max="12" width="17.7109375" customWidth="1"/>
    <col min="14" max="14" width="23" customWidth="1"/>
    <col min="15" max="15" width="18.28515625" customWidth="1"/>
    <col min="16" max="16" width="27.7109375" customWidth="1"/>
    <col min="18" max="18" width="22.85546875" customWidth="1"/>
    <col min="19" max="19" width="14" customWidth="1"/>
    <col min="20" max="20" width="16" customWidth="1"/>
  </cols>
  <sheetData>
    <row r="2" spans="2:20" x14ac:dyDescent="0.25">
      <c r="B2" s="1" t="s">
        <v>2</v>
      </c>
      <c r="C2" s="1"/>
      <c r="D2" s="1"/>
      <c r="F2" s="1" t="s">
        <v>9</v>
      </c>
      <c r="G2" s="1"/>
      <c r="H2" s="1"/>
      <c r="J2" s="1" t="s">
        <v>11</v>
      </c>
      <c r="K2" s="1"/>
      <c r="L2" s="1"/>
      <c r="N2" s="1" t="s">
        <v>14</v>
      </c>
      <c r="O2" s="1"/>
      <c r="P2" s="1"/>
      <c r="R2" s="1" t="s">
        <v>18</v>
      </c>
      <c r="S2" s="1"/>
      <c r="T2" s="1"/>
    </row>
    <row r="3" spans="2:20" x14ac:dyDescent="0.25">
      <c r="B3" t="s">
        <v>0</v>
      </c>
      <c r="D3" t="s">
        <v>5</v>
      </c>
      <c r="F3" t="s">
        <v>7</v>
      </c>
      <c r="G3" t="s">
        <v>3</v>
      </c>
      <c r="H3" t="s">
        <v>5</v>
      </c>
      <c r="J3" t="s">
        <v>10</v>
      </c>
      <c r="K3" t="s">
        <v>3</v>
      </c>
      <c r="L3" t="s">
        <v>5</v>
      </c>
      <c r="N3" t="s">
        <v>13</v>
      </c>
      <c r="O3" t="s">
        <v>3</v>
      </c>
      <c r="P3" t="s">
        <v>5</v>
      </c>
      <c r="R3" t="s">
        <v>16</v>
      </c>
      <c r="S3" t="s">
        <v>3</v>
      </c>
      <c r="T3" t="s">
        <v>5</v>
      </c>
    </row>
    <row r="4" spans="2:20" x14ac:dyDescent="0.25">
      <c r="B4" t="s">
        <v>1</v>
      </c>
      <c r="C4" t="s">
        <v>4</v>
      </c>
      <c r="D4" t="s">
        <v>6</v>
      </c>
      <c r="F4" t="s">
        <v>1</v>
      </c>
      <c r="G4" t="s">
        <v>4</v>
      </c>
      <c r="H4" t="s">
        <v>8</v>
      </c>
      <c r="J4" t="s">
        <v>1</v>
      </c>
      <c r="K4" t="s">
        <v>4</v>
      </c>
      <c r="L4" t="s">
        <v>12</v>
      </c>
      <c r="N4" t="s">
        <v>1</v>
      </c>
      <c r="O4" t="s">
        <v>4</v>
      </c>
      <c r="P4" t="s">
        <v>15</v>
      </c>
      <c r="R4" t="s">
        <v>1</v>
      </c>
      <c r="S4" t="s">
        <v>4</v>
      </c>
      <c r="T4" t="s">
        <v>17</v>
      </c>
    </row>
    <row r="5" spans="2:20" x14ac:dyDescent="0.25">
      <c r="B5">
        <v>0.18</v>
      </c>
      <c r="C5">
        <v>0.11600000000000001</v>
      </c>
      <c r="D5">
        <f>10 *9.8</f>
        <v>98</v>
      </c>
      <c r="F5">
        <v>0.01</v>
      </c>
      <c r="G5">
        <v>1.899</v>
      </c>
      <c r="H5">
        <f>8*9.8</f>
        <v>78.400000000000006</v>
      </c>
      <c r="J5">
        <v>0.25</v>
      </c>
      <c r="K5">
        <v>1.806</v>
      </c>
      <c r="L5">
        <f>6*9.8</f>
        <v>58.800000000000004</v>
      </c>
      <c r="N5">
        <v>0.19</v>
      </c>
      <c r="O5">
        <v>1.085</v>
      </c>
      <c r="P5">
        <f>4*9.8</f>
        <v>39.200000000000003</v>
      </c>
      <c r="R5">
        <v>0.14000000000000001</v>
      </c>
      <c r="S5">
        <v>1.6919999999999999</v>
      </c>
      <c r="T5">
        <f>2*9.8</f>
        <v>19.600000000000001</v>
      </c>
    </row>
    <row r="6" spans="2:20" x14ac:dyDescent="0.25">
      <c r="B6">
        <v>0.23</v>
      </c>
      <c r="C6">
        <v>0.188</v>
      </c>
      <c r="D6">
        <v>0.69199999999999995</v>
      </c>
      <c r="F6">
        <v>0.14000000000000001</v>
      </c>
      <c r="G6">
        <v>2.528</v>
      </c>
      <c r="H6">
        <v>0.55000000000000004</v>
      </c>
      <c r="J6">
        <v>0.27</v>
      </c>
      <c r="K6">
        <v>1.863</v>
      </c>
      <c r="L6">
        <v>0.40699999999999997</v>
      </c>
      <c r="N6">
        <v>0.21</v>
      </c>
      <c r="O6">
        <v>1.159</v>
      </c>
      <c r="P6">
        <v>0.252</v>
      </c>
      <c r="R6">
        <v>0.15</v>
      </c>
      <c r="S6">
        <v>1.794</v>
      </c>
      <c r="T6">
        <v>9.9599999999999994E-2</v>
      </c>
    </row>
    <row r="7" spans="2:20" x14ac:dyDescent="0.25">
      <c r="B7">
        <v>0.28000000000000003</v>
      </c>
      <c r="C7">
        <v>0.248</v>
      </c>
      <c r="F7">
        <v>0.19</v>
      </c>
      <c r="G7">
        <v>2.6179999999999999</v>
      </c>
      <c r="J7">
        <v>0.28999999999999998</v>
      </c>
      <c r="K7">
        <v>1.9159999999999999</v>
      </c>
      <c r="N7">
        <v>0.23</v>
      </c>
      <c r="O7">
        <v>1.2270000000000001</v>
      </c>
      <c r="R7">
        <v>0.16</v>
      </c>
      <c r="S7">
        <v>1.891</v>
      </c>
    </row>
    <row r="8" spans="2:20" x14ac:dyDescent="0.25">
      <c r="B8">
        <v>0.31</v>
      </c>
      <c r="C8">
        <v>0.29899999999999999</v>
      </c>
      <c r="F8">
        <v>0.23</v>
      </c>
      <c r="G8">
        <v>2.6890000000000001</v>
      </c>
      <c r="J8">
        <v>0.31</v>
      </c>
      <c r="K8">
        <v>1.966</v>
      </c>
      <c r="N8">
        <v>0.24</v>
      </c>
      <c r="O8">
        <v>1.29</v>
      </c>
      <c r="R8">
        <v>0.17</v>
      </c>
      <c r="S8">
        <v>1.982</v>
      </c>
    </row>
    <row r="9" spans="2:20" x14ac:dyDescent="0.25">
      <c r="B9">
        <v>0.34</v>
      </c>
      <c r="C9">
        <v>0.34399999999999997</v>
      </c>
      <c r="F9">
        <v>0.26</v>
      </c>
      <c r="G9">
        <v>2.75</v>
      </c>
      <c r="J9">
        <v>0.33</v>
      </c>
      <c r="K9">
        <v>2.012</v>
      </c>
      <c r="N9">
        <v>0.26</v>
      </c>
      <c r="O9">
        <v>1.35</v>
      </c>
      <c r="R9">
        <v>0.18</v>
      </c>
      <c r="S9">
        <v>2.069</v>
      </c>
    </row>
    <row r="10" spans="2:20" x14ac:dyDescent="0.25">
      <c r="B10">
        <v>0.37</v>
      </c>
      <c r="C10">
        <v>0.38600000000000001</v>
      </c>
      <c r="F10">
        <v>0.28999999999999998</v>
      </c>
      <c r="G10">
        <v>2.8039999999999998</v>
      </c>
      <c r="J10">
        <v>0.35</v>
      </c>
      <c r="K10">
        <v>2.056</v>
      </c>
      <c r="N10">
        <v>0.27</v>
      </c>
      <c r="O10">
        <v>1.4059999999999999</v>
      </c>
      <c r="R10">
        <v>0.18</v>
      </c>
      <c r="S10">
        <v>2.153</v>
      </c>
    </row>
    <row r="11" spans="2:20" x14ac:dyDescent="0.25">
      <c r="B11">
        <v>0.4</v>
      </c>
      <c r="C11">
        <v>0.42499999999999999</v>
      </c>
      <c r="F11">
        <v>0.32</v>
      </c>
      <c r="G11">
        <v>2.8530000000000002</v>
      </c>
      <c r="J11">
        <v>0.37</v>
      </c>
      <c r="K11">
        <v>2.0979999999999999</v>
      </c>
      <c r="N11">
        <v>0.28999999999999998</v>
      </c>
      <c r="O11">
        <v>1.46</v>
      </c>
      <c r="R11">
        <v>0.19</v>
      </c>
      <c r="S11">
        <v>2.234</v>
      </c>
    </row>
    <row r="12" spans="2:20" x14ac:dyDescent="0.25">
      <c r="B12">
        <v>0.42</v>
      </c>
      <c r="C12">
        <v>0.46100000000000002</v>
      </c>
      <c r="F12">
        <v>0.34</v>
      </c>
      <c r="G12">
        <v>2.8980000000000001</v>
      </c>
      <c r="J12">
        <v>0.38</v>
      </c>
      <c r="K12">
        <v>2.1379999999999999</v>
      </c>
      <c r="N12">
        <v>0.3</v>
      </c>
      <c r="O12">
        <v>1.5109999999999999</v>
      </c>
      <c r="R12">
        <v>0.19</v>
      </c>
      <c r="S12">
        <v>2.3119999999999998</v>
      </c>
    </row>
    <row r="13" spans="2:20" x14ac:dyDescent="0.25">
      <c r="B13">
        <v>0.45</v>
      </c>
      <c r="C13">
        <v>0.496</v>
      </c>
      <c r="F13">
        <v>0.37</v>
      </c>
      <c r="G13">
        <v>2.94</v>
      </c>
      <c r="J13">
        <v>0.4</v>
      </c>
      <c r="K13">
        <v>2.177</v>
      </c>
      <c r="N13">
        <v>0.31</v>
      </c>
      <c r="O13">
        <v>1.56</v>
      </c>
      <c r="R13">
        <v>0.2</v>
      </c>
      <c r="S13">
        <v>2.3879999999999999</v>
      </c>
    </row>
    <row r="14" spans="2:20" x14ac:dyDescent="0.25">
      <c r="B14">
        <v>0.47</v>
      </c>
      <c r="C14">
        <v>0.52800000000000002</v>
      </c>
      <c r="F14">
        <v>0.39</v>
      </c>
      <c r="G14">
        <v>2.98</v>
      </c>
      <c r="J14">
        <v>0.41</v>
      </c>
      <c r="K14">
        <v>2.214</v>
      </c>
      <c r="N14">
        <v>0.32</v>
      </c>
      <c r="O14">
        <v>1.6080000000000001</v>
      </c>
      <c r="R14">
        <v>0.21</v>
      </c>
      <c r="S14">
        <v>2.4620000000000002</v>
      </c>
    </row>
    <row r="15" spans="2:20" x14ac:dyDescent="0.25">
      <c r="B15">
        <v>0.5</v>
      </c>
      <c r="C15">
        <v>0.55900000000000005</v>
      </c>
      <c r="F15">
        <v>0.41</v>
      </c>
      <c r="G15">
        <v>3.0179999999999998</v>
      </c>
      <c r="J15">
        <v>0.42</v>
      </c>
      <c r="K15">
        <v>2.25</v>
      </c>
      <c r="N15">
        <v>0.33</v>
      </c>
      <c r="O15">
        <v>1.6539999999999999</v>
      </c>
      <c r="R15">
        <v>0.22</v>
      </c>
      <c r="S15">
        <v>2.5329999999999999</v>
      </c>
    </row>
    <row r="16" spans="2:20" x14ac:dyDescent="0.25">
      <c r="B16">
        <v>0.52</v>
      </c>
      <c r="C16">
        <v>0.58899999999999997</v>
      </c>
      <c r="F16">
        <v>0.43</v>
      </c>
      <c r="G16">
        <v>3.0529999999999999</v>
      </c>
      <c r="J16">
        <v>0.44</v>
      </c>
      <c r="K16">
        <v>2.2850000000000001</v>
      </c>
      <c r="N16">
        <v>0.34</v>
      </c>
      <c r="O16">
        <v>1.698</v>
      </c>
      <c r="R16">
        <v>0.22</v>
      </c>
      <c r="S16">
        <v>2.601</v>
      </c>
    </row>
    <row r="17" spans="2:19" x14ac:dyDescent="0.25">
      <c r="B17">
        <v>0.54</v>
      </c>
      <c r="C17">
        <v>0.61699999999999999</v>
      </c>
      <c r="F17">
        <v>0.45</v>
      </c>
      <c r="G17">
        <v>3.0870000000000002</v>
      </c>
      <c r="J17">
        <v>0.45</v>
      </c>
      <c r="K17">
        <v>2.3180000000000001</v>
      </c>
      <c r="N17">
        <v>0.35</v>
      </c>
      <c r="O17">
        <v>1.7410000000000001</v>
      </c>
      <c r="R17">
        <v>0.23</v>
      </c>
      <c r="S17">
        <v>2.6680000000000001</v>
      </c>
    </row>
    <row r="18" spans="2:19" x14ac:dyDescent="0.25">
      <c r="B18">
        <v>0.56000000000000005</v>
      </c>
      <c r="C18">
        <v>0.64500000000000002</v>
      </c>
      <c r="F18">
        <v>0.47</v>
      </c>
      <c r="G18">
        <v>3.12</v>
      </c>
      <c r="J18">
        <v>0.47</v>
      </c>
      <c r="K18">
        <v>2.351</v>
      </c>
      <c r="N18">
        <v>0.36</v>
      </c>
      <c r="O18">
        <v>1.7829999999999999</v>
      </c>
      <c r="R18">
        <v>0.24</v>
      </c>
      <c r="S18">
        <v>2.7320000000000002</v>
      </c>
    </row>
    <row r="19" spans="2:19" x14ac:dyDescent="0.25">
      <c r="B19">
        <v>0.57999999999999996</v>
      </c>
      <c r="C19">
        <v>0.67100000000000004</v>
      </c>
      <c r="F19">
        <v>0.49</v>
      </c>
      <c r="G19">
        <v>3.1509999999999998</v>
      </c>
      <c r="J19">
        <v>0.48</v>
      </c>
      <c r="K19">
        <v>2.383</v>
      </c>
      <c r="N19">
        <v>0.38</v>
      </c>
      <c r="O19">
        <v>1.823</v>
      </c>
      <c r="R19">
        <v>0.24</v>
      </c>
      <c r="S19">
        <v>2.7949999999999999</v>
      </c>
    </row>
    <row r="20" spans="2:19" x14ac:dyDescent="0.25">
      <c r="B20">
        <v>0.59</v>
      </c>
      <c r="C20">
        <v>0.69699999999999995</v>
      </c>
      <c r="F20">
        <v>0.5</v>
      </c>
      <c r="G20">
        <v>3.1819999999999999</v>
      </c>
      <c r="J20">
        <v>0.49</v>
      </c>
      <c r="K20">
        <v>2.4140000000000001</v>
      </c>
      <c r="N20">
        <v>0.38</v>
      </c>
      <c r="O20">
        <v>1.863</v>
      </c>
      <c r="R20">
        <v>0.25</v>
      </c>
      <c r="S20">
        <v>2.8559999999999999</v>
      </c>
    </row>
    <row r="21" spans="2:19" x14ac:dyDescent="0.25">
      <c r="B21">
        <v>0.61</v>
      </c>
      <c r="C21">
        <v>0.72199999999999998</v>
      </c>
      <c r="F21">
        <v>0.52</v>
      </c>
      <c r="G21">
        <v>3.2109999999999999</v>
      </c>
      <c r="J21">
        <v>0.5</v>
      </c>
      <c r="K21">
        <v>2.444</v>
      </c>
      <c r="N21">
        <v>0.39</v>
      </c>
      <c r="O21">
        <v>1.9019999999999999</v>
      </c>
      <c r="R21">
        <v>0.25</v>
      </c>
      <c r="S21">
        <v>2.9169999999999998</v>
      </c>
    </row>
    <row r="22" spans="2:19" x14ac:dyDescent="0.25">
      <c r="B22">
        <v>0.63</v>
      </c>
      <c r="C22">
        <v>0.746</v>
      </c>
      <c r="F22">
        <v>0.53</v>
      </c>
      <c r="G22">
        <v>3.24</v>
      </c>
      <c r="J22">
        <v>0.52</v>
      </c>
      <c r="K22">
        <v>2.4729999999999999</v>
      </c>
      <c r="N22">
        <v>0.4</v>
      </c>
      <c r="O22">
        <v>1.9390000000000001</v>
      </c>
      <c r="R22">
        <v>0.26</v>
      </c>
      <c r="S22">
        <v>2.976</v>
      </c>
    </row>
    <row r="23" spans="2:19" x14ac:dyDescent="0.25">
      <c r="B23">
        <v>0.65</v>
      </c>
      <c r="C23">
        <v>0.77</v>
      </c>
      <c r="F23">
        <v>0.55000000000000004</v>
      </c>
      <c r="G23">
        <v>3.2679999999999998</v>
      </c>
      <c r="J23">
        <v>0.53</v>
      </c>
      <c r="K23">
        <v>2.5019999999999998</v>
      </c>
      <c r="N23">
        <v>0.41</v>
      </c>
      <c r="O23">
        <v>1.976</v>
      </c>
      <c r="R23">
        <v>0.26</v>
      </c>
      <c r="S23">
        <v>3.0339999999999998</v>
      </c>
    </row>
    <row r="24" spans="2:19" x14ac:dyDescent="0.25">
      <c r="B24">
        <v>0.66</v>
      </c>
      <c r="C24">
        <v>0.79200000000000004</v>
      </c>
      <c r="F24">
        <v>0.56000000000000005</v>
      </c>
      <c r="G24">
        <v>3.2949999999999999</v>
      </c>
      <c r="J24">
        <v>0.54</v>
      </c>
      <c r="K24">
        <v>2.5299999999999998</v>
      </c>
      <c r="N24">
        <v>0.42</v>
      </c>
      <c r="O24">
        <v>2.012</v>
      </c>
      <c r="R24">
        <v>0.27</v>
      </c>
      <c r="S24">
        <v>3.0910000000000002</v>
      </c>
    </row>
    <row r="25" spans="2:19" x14ac:dyDescent="0.25">
      <c r="B25">
        <v>0.68</v>
      </c>
      <c r="C25">
        <v>0.81499999999999995</v>
      </c>
      <c r="F25">
        <v>0.57999999999999996</v>
      </c>
      <c r="G25">
        <v>3.3210000000000002</v>
      </c>
      <c r="J25">
        <v>0.55000000000000004</v>
      </c>
      <c r="K25">
        <v>2.5579999999999998</v>
      </c>
      <c r="N25">
        <v>0.43</v>
      </c>
      <c r="O25">
        <v>2.0470000000000002</v>
      </c>
      <c r="R25">
        <v>0.27</v>
      </c>
      <c r="S25">
        <v>3.1469999999999998</v>
      </c>
    </row>
    <row r="26" spans="2:19" x14ac:dyDescent="0.25">
      <c r="B26">
        <v>0.69</v>
      </c>
      <c r="C26">
        <v>0.83699999999999997</v>
      </c>
      <c r="F26">
        <v>0.59</v>
      </c>
      <c r="G26">
        <v>3.347</v>
      </c>
      <c r="J26">
        <v>0.56000000000000005</v>
      </c>
      <c r="K26">
        <v>2.585</v>
      </c>
      <c r="N26">
        <v>0.44</v>
      </c>
      <c r="O26">
        <v>2.0819999999999999</v>
      </c>
      <c r="R26">
        <v>0.28000000000000003</v>
      </c>
      <c r="S26">
        <v>3.202</v>
      </c>
    </row>
    <row r="27" spans="2:19" x14ac:dyDescent="0.25">
      <c r="B27">
        <v>0.71</v>
      </c>
      <c r="C27">
        <v>0.85799999999999998</v>
      </c>
      <c r="F27">
        <v>0.61</v>
      </c>
      <c r="G27">
        <v>3.3719999999999999</v>
      </c>
      <c r="J27">
        <v>0.56999999999999995</v>
      </c>
      <c r="K27">
        <v>2.6110000000000002</v>
      </c>
      <c r="N27">
        <v>0.45</v>
      </c>
      <c r="O27">
        <v>2.1160000000000001</v>
      </c>
      <c r="R27">
        <v>0.28000000000000003</v>
      </c>
      <c r="S27">
        <v>3.2549999999999999</v>
      </c>
    </row>
    <row r="28" spans="2:19" x14ac:dyDescent="0.25">
      <c r="B28">
        <v>0.72</v>
      </c>
      <c r="C28">
        <v>0.879</v>
      </c>
      <c r="F28">
        <v>0.62</v>
      </c>
      <c r="G28">
        <v>3.3959999999999999</v>
      </c>
      <c r="J28">
        <v>0.57999999999999996</v>
      </c>
      <c r="K28">
        <v>2.637</v>
      </c>
      <c r="N28">
        <v>0.45</v>
      </c>
      <c r="O28">
        <v>2.149</v>
      </c>
      <c r="R28">
        <v>0.28999999999999998</v>
      </c>
      <c r="S28">
        <v>3.3079999999999998</v>
      </c>
    </row>
    <row r="29" spans="2:19" x14ac:dyDescent="0.25">
      <c r="B29">
        <v>0.74</v>
      </c>
      <c r="C29">
        <v>0.9</v>
      </c>
      <c r="F29">
        <v>0.63</v>
      </c>
      <c r="G29">
        <v>3.42</v>
      </c>
      <c r="J29">
        <v>0.59</v>
      </c>
      <c r="K29">
        <v>2.6629999999999998</v>
      </c>
      <c r="N29">
        <v>0.46</v>
      </c>
      <c r="O29">
        <v>2.1819999999999999</v>
      </c>
      <c r="R29">
        <v>0.28999999999999998</v>
      </c>
      <c r="S29">
        <v>3.36</v>
      </c>
    </row>
    <row r="30" spans="2:19" x14ac:dyDescent="0.25">
      <c r="B30">
        <v>0.75</v>
      </c>
      <c r="C30">
        <v>0.92</v>
      </c>
      <c r="F30">
        <v>0.64</v>
      </c>
      <c r="G30">
        <v>3.444</v>
      </c>
      <c r="J30">
        <v>0.6</v>
      </c>
      <c r="K30">
        <v>2.6880000000000002</v>
      </c>
      <c r="N30">
        <v>0.47</v>
      </c>
      <c r="O30">
        <v>2.214</v>
      </c>
      <c r="R30">
        <v>0.3</v>
      </c>
      <c r="S30">
        <v>3.411</v>
      </c>
    </row>
    <row r="31" spans="2:19" x14ac:dyDescent="0.25">
      <c r="B31">
        <v>0.76</v>
      </c>
      <c r="C31">
        <v>0.93899999999999995</v>
      </c>
      <c r="F31">
        <v>0.66</v>
      </c>
      <c r="G31">
        <v>3.4670000000000001</v>
      </c>
      <c r="J31">
        <v>0.61</v>
      </c>
      <c r="K31">
        <v>2.7130000000000001</v>
      </c>
      <c r="N31">
        <v>0.48</v>
      </c>
      <c r="O31">
        <v>2.246</v>
      </c>
      <c r="R31">
        <v>0.3</v>
      </c>
      <c r="S31">
        <v>3.4609999999999999</v>
      </c>
    </row>
    <row r="32" spans="2:19" x14ac:dyDescent="0.25">
      <c r="B32">
        <v>0.78</v>
      </c>
      <c r="C32">
        <v>0.95899999999999996</v>
      </c>
      <c r="F32">
        <v>0.67</v>
      </c>
      <c r="G32">
        <v>3.4889999999999999</v>
      </c>
      <c r="J32">
        <v>0.62</v>
      </c>
      <c r="K32">
        <v>2.7370000000000001</v>
      </c>
      <c r="N32">
        <v>0.49</v>
      </c>
      <c r="O32">
        <v>2.2770000000000001</v>
      </c>
      <c r="R32">
        <v>0.31</v>
      </c>
      <c r="S32">
        <v>3.51</v>
      </c>
    </row>
    <row r="33" spans="2:19" x14ac:dyDescent="0.25">
      <c r="B33">
        <v>0.79</v>
      </c>
      <c r="C33">
        <v>0.97799999999999998</v>
      </c>
      <c r="F33">
        <v>0.68</v>
      </c>
      <c r="G33">
        <v>3.5110000000000001</v>
      </c>
      <c r="J33">
        <v>0.63</v>
      </c>
      <c r="K33">
        <v>2.7610000000000001</v>
      </c>
      <c r="N33">
        <v>0.5</v>
      </c>
      <c r="O33">
        <v>2.3069999999999999</v>
      </c>
      <c r="R33">
        <v>0.31</v>
      </c>
      <c r="S33">
        <v>3.5590000000000002</v>
      </c>
    </row>
    <row r="34" spans="2:19" x14ac:dyDescent="0.25">
      <c r="B34">
        <v>0.81</v>
      </c>
      <c r="C34">
        <v>0.997</v>
      </c>
      <c r="F34">
        <v>0.7</v>
      </c>
      <c r="G34">
        <v>3.5329999999999999</v>
      </c>
      <c r="J34">
        <v>0.64</v>
      </c>
      <c r="K34">
        <v>2.7839999999999998</v>
      </c>
      <c r="N34">
        <v>0.5</v>
      </c>
      <c r="O34">
        <v>2.3370000000000002</v>
      </c>
      <c r="R34">
        <v>0.32</v>
      </c>
      <c r="S34">
        <v>3.6070000000000002</v>
      </c>
    </row>
    <row r="35" spans="2:19" x14ac:dyDescent="0.25">
      <c r="B35">
        <v>0.82</v>
      </c>
      <c r="C35">
        <v>1.0149999999999999</v>
      </c>
      <c r="F35">
        <v>0.7</v>
      </c>
      <c r="G35">
        <v>3.5550000000000002</v>
      </c>
      <c r="J35">
        <v>0.65</v>
      </c>
      <c r="K35">
        <v>2.8069999999999999</v>
      </c>
      <c r="N35">
        <v>0.51</v>
      </c>
      <c r="O35">
        <v>2.367</v>
      </c>
      <c r="R35">
        <v>0.32</v>
      </c>
      <c r="S35">
        <v>3.6539999999999999</v>
      </c>
    </row>
    <row r="36" spans="2:19" x14ac:dyDescent="0.25">
      <c r="B36">
        <v>0.83</v>
      </c>
      <c r="C36">
        <v>1.0329999999999999</v>
      </c>
      <c r="F36">
        <v>0.72</v>
      </c>
      <c r="G36">
        <v>3.5760000000000001</v>
      </c>
      <c r="J36">
        <v>0.66</v>
      </c>
      <c r="K36">
        <v>2.83</v>
      </c>
      <c r="N36">
        <v>0.52</v>
      </c>
      <c r="O36">
        <v>2.3959999999999999</v>
      </c>
      <c r="R36">
        <v>0.33</v>
      </c>
      <c r="S36">
        <v>3.7</v>
      </c>
    </row>
    <row r="37" spans="2:19" x14ac:dyDescent="0.25">
      <c r="B37">
        <v>0.85</v>
      </c>
      <c r="C37">
        <v>1.0509999999999999</v>
      </c>
      <c r="F37">
        <v>0.73</v>
      </c>
      <c r="G37">
        <v>3.5960000000000001</v>
      </c>
      <c r="J37">
        <v>0.67</v>
      </c>
      <c r="K37">
        <v>2.8530000000000002</v>
      </c>
      <c r="N37">
        <v>0.53</v>
      </c>
      <c r="O37">
        <v>2.4249999999999998</v>
      </c>
      <c r="R37">
        <v>0.33</v>
      </c>
      <c r="S37">
        <v>3.746</v>
      </c>
    </row>
    <row r="38" spans="2:19" x14ac:dyDescent="0.25">
      <c r="B38">
        <v>0.86</v>
      </c>
      <c r="C38">
        <v>1.069</v>
      </c>
      <c r="J38">
        <v>0.68</v>
      </c>
      <c r="K38">
        <v>2.875</v>
      </c>
      <c r="N38">
        <v>0.53</v>
      </c>
      <c r="O38">
        <v>2.4529999999999998</v>
      </c>
      <c r="R38">
        <v>0.34</v>
      </c>
      <c r="S38">
        <v>3.7909999999999999</v>
      </c>
    </row>
    <row r="39" spans="2:19" x14ac:dyDescent="0.25">
      <c r="B39">
        <v>0.87</v>
      </c>
      <c r="C39">
        <v>1.0860000000000001</v>
      </c>
      <c r="J39">
        <v>0.69</v>
      </c>
      <c r="K39">
        <v>2.8969999999999998</v>
      </c>
      <c r="N39">
        <v>0.54</v>
      </c>
      <c r="O39">
        <v>2.4809999999999999</v>
      </c>
      <c r="R39">
        <v>0.34</v>
      </c>
      <c r="S39">
        <v>3.8359999999999999</v>
      </c>
    </row>
    <row r="40" spans="2:19" x14ac:dyDescent="0.25">
      <c r="B40">
        <v>0.89</v>
      </c>
      <c r="C40">
        <v>1.103</v>
      </c>
      <c r="J40">
        <v>0.7</v>
      </c>
      <c r="K40">
        <v>2.9180000000000001</v>
      </c>
      <c r="N40">
        <v>0.55000000000000004</v>
      </c>
      <c r="O40">
        <v>2.5089999999999999</v>
      </c>
      <c r="R40">
        <v>0.34</v>
      </c>
      <c r="S40">
        <v>3.879</v>
      </c>
    </row>
    <row r="41" spans="2:19" x14ac:dyDescent="0.25">
      <c r="B41">
        <v>0.89</v>
      </c>
      <c r="C41">
        <v>1.1200000000000001</v>
      </c>
      <c r="J41">
        <v>0.71</v>
      </c>
      <c r="K41">
        <v>2.94</v>
      </c>
      <c r="N41">
        <v>0.56000000000000005</v>
      </c>
      <c r="O41">
        <v>2.536</v>
      </c>
      <c r="R41">
        <v>0.35</v>
      </c>
      <c r="S41">
        <v>3.923</v>
      </c>
    </row>
    <row r="42" spans="2:19" x14ac:dyDescent="0.25">
      <c r="B42">
        <v>0.91</v>
      </c>
      <c r="C42">
        <v>1.1359999999999999</v>
      </c>
      <c r="J42">
        <v>0.72</v>
      </c>
      <c r="K42">
        <v>2.9609999999999999</v>
      </c>
      <c r="N42">
        <v>0.56000000000000005</v>
      </c>
      <c r="O42">
        <v>2.5630000000000002</v>
      </c>
      <c r="R42">
        <v>0.35</v>
      </c>
      <c r="S42">
        <v>3.9660000000000002</v>
      </c>
    </row>
    <row r="43" spans="2:19" x14ac:dyDescent="0.25">
      <c r="B43">
        <v>0.92</v>
      </c>
      <c r="C43">
        <v>1.153</v>
      </c>
      <c r="J43">
        <v>0.73</v>
      </c>
      <c r="K43">
        <v>2.9820000000000002</v>
      </c>
      <c r="N43">
        <v>0.56999999999999995</v>
      </c>
      <c r="O43">
        <v>2.589</v>
      </c>
      <c r="R43">
        <v>0.36</v>
      </c>
      <c r="S43">
        <v>4.008</v>
      </c>
    </row>
    <row r="44" spans="2:19" x14ac:dyDescent="0.25">
      <c r="B44">
        <v>0.93</v>
      </c>
      <c r="C44">
        <v>1.169</v>
      </c>
      <c r="J44">
        <v>0.73</v>
      </c>
      <c r="K44">
        <v>3.0019999999999998</v>
      </c>
      <c r="N44">
        <v>0.57999999999999996</v>
      </c>
      <c r="O44">
        <v>2.6150000000000002</v>
      </c>
      <c r="R44">
        <v>0.36</v>
      </c>
      <c r="S44">
        <v>4.05</v>
      </c>
    </row>
    <row r="45" spans="2:19" x14ac:dyDescent="0.25">
      <c r="B45">
        <v>0.95</v>
      </c>
      <c r="C45">
        <v>1.1850000000000001</v>
      </c>
      <c r="J45">
        <v>0.74</v>
      </c>
      <c r="K45">
        <v>3.0230000000000001</v>
      </c>
      <c r="N45">
        <v>0.57999999999999996</v>
      </c>
      <c r="O45">
        <v>2.641</v>
      </c>
      <c r="R45">
        <v>0.37</v>
      </c>
      <c r="S45">
        <v>4.0910000000000002</v>
      </c>
    </row>
    <row r="46" spans="2:19" x14ac:dyDescent="0.25">
      <c r="B46">
        <v>0.95</v>
      </c>
      <c r="C46">
        <v>1.2010000000000001</v>
      </c>
      <c r="J46">
        <v>0.75</v>
      </c>
      <c r="K46">
        <v>3.0430000000000001</v>
      </c>
      <c r="N46">
        <v>0.59</v>
      </c>
      <c r="O46">
        <v>2.6669999999999998</v>
      </c>
      <c r="R46">
        <v>0.37</v>
      </c>
      <c r="S46">
        <v>4.1319999999999997</v>
      </c>
    </row>
    <row r="47" spans="2:19" x14ac:dyDescent="0.25">
      <c r="B47">
        <v>0.97</v>
      </c>
      <c r="C47">
        <v>1.216</v>
      </c>
      <c r="J47">
        <v>0.76</v>
      </c>
      <c r="K47">
        <v>3.0630000000000002</v>
      </c>
      <c r="N47">
        <v>0.59</v>
      </c>
      <c r="O47">
        <v>2.6930000000000001</v>
      </c>
      <c r="R47">
        <v>0.37</v>
      </c>
      <c r="S47">
        <v>4.1719999999999997</v>
      </c>
    </row>
    <row r="48" spans="2:19" x14ac:dyDescent="0.25">
      <c r="B48">
        <v>0.98</v>
      </c>
      <c r="C48">
        <v>1.232</v>
      </c>
      <c r="J48">
        <v>0.77</v>
      </c>
      <c r="K48">
        <v>3.0819999999999999</v>
      </c>
      <c r="N48">
        <v>0.6</v>
      </c>
      <c r="O48">
        <v>2.718</v>
      </c>
      <c r="R48">
        <v>0.38</v>
      </c>
      <c r="S48">
        <v>4.2119999999999997</v>
      </c>
    </row>
    <row r="49" spans="2:19" x14ac:dyDescent="0.25">
      <c r="B49">
        <v>0.99</v>
      </c>
      <c r="C49">
        <v>1.2470000000000001</v>
      </c>
      <c r="J49">
        <v>0.77</v>
      </c>
      <c r="K49">
        <v>3.1019999999999999</v>
      </c>
      <c r="N49">
        <v>0.61</v>
      </c>
      <c r="O49">
        <v>2.742</v>
      </c>
      <c r="R49">
        <v>0.38</v>
      </c>
      <c r="S49">
        <v>4.2510000000000003</v>
      </c>
    </row>
    <row r="50" spans="2:19" x14ac:dyDescent="0.25">
      <c r="B50">
        <v>1</v>
      </c>
      <c r="C50">
        <v>1.262</v>
      </c>
      <c r="J50">
        <v>0.78</v>
      </c>
      <c r="K50">
        <v>3.121</v>
      </c>
      <c r="N50">
        <v>0.61</v>
      </c>
      <c r="O50">
        <v>2.7669999999999999</v>
      </c>
      <c r="R50">
        <v>0.39</v>
      </c>
      <c r="S50">
        <v>4.29</v>
      </c>
    </row>
    <row r="51" spans="2:19" x14ac:dyDescent="0.25">
      <c r="B51">
        <v>1.01</v>
      </c>
      <c r="C51">
        <v>1.2769999999999999</v>
      </c>
      <c r="J51">
        <v>0.79</v>
      </c>
      <c r="K51">
        <v>3.14</v>
      </c>
      <c r="N51">
        <v>0.62</v>
      </c>
      <c r="O51">
        <v>2.7909999999999999</v>
      </c>
      <c r="R51">
        <v>0.39</v>
      </c>
      <c r="S51">
        <v>4.3280000000000003</v>
      </c>
    </row>
    <row r="52" spans="2:19" x14ac:dyDescent="0.25">
      <c r="B52">
        <v>1.02</v>
      </c>
      <c r="C52">
        <v>1.292</v>
      </c>
      <c r="J52">
        <v>0.8</v>
      </c>
      <c r="K52">
        <v>3.1589999999999998</v>
      </c>
      <c r="N52">
        <v>0.63</v>
      </c>
      <c r="O52">
        <v>2.8149999999999999</v>
      </c>
      <c r="R52">
        <v>0.4</v>
      </c>
      <c r="S52">
        <v>4.3659999999999997</v>
      </c>
    </row>
    <row r="53" spans="2:19" x14ac:dyDescent="0.25">
      <c r="B53">
        <v>1.03</v>
      </c>
      <c r="C53">
        <v>1.306</v>
      </c>
      <c r="J53">
        <v>0.81</v>
      </c>
      <c r="K53">
        <v>3.1779999999999999</v>
      </c>
      <c r="N53">
        <v>0.63</v>
      </c>
      <c r="O53">
        <v>2.839</v>
      </c>
      <c r="R53">
        <v>0.4</v>
      </c>
      <c r="S53">
        <v>4.4039999999999999</v>
      </c>
    </row>
    <row r="54" spans="2:19" x14ac:dyDescent="0.25">
      <c r="B54">
        <v>1.04</v>
      </c>
      <c r="C54">
        <v>1.321</v>
      </c>
      <c r="J54">
        <v>0.81</v>
      </c>
      <c r="K54">
        <v>3.1960000000000002</v>
      </c>
      <c r="N54">
        <v>0.64</v>
      </c>
      <c r="O54">
        <v>2.8620000000000001</v>
      </c>
      <c r="R54">
        <v>0.41</v>
      </c>
      <c r="S54">
        <v>4.4409999999999998</v>
      </c>
    </row>
    <row r="55" spans="2:19" x14ac:dyDescent="0.25">
      <c r="B55">
        <v>1.06</v>
      </c>
      <c r="C55">
        <v>1.335</v>
      </c>
      <c r="J55">
        <v>0.82</v>
      </c>
      <c r="K55">
        <v>3.2149999999999999</v>
      </c>
      <c r="N55">
        <v>0.64</v>
      </c>
      <c r="O55">
        <v>2.8860000000000001</v>
      </c>
      <c r="R55">
        <v>0.41</v>
      </c>
      <c r="S55">
        <v>4.4779999999999998</v>
      </c>
    </row>
    <row r="56" spans="2:19" x14ac:dyDescent="0.25">
      <c r="J56">
        <v>0.83</v>
      </c>
      <c r="K56">
        <v>3.2330000000000001</v>
      </c>
      <c r="N56">
        <v>0.65</v>
      </c>
      <c r="O56">
        <v>2.9089999999999998</v>
      </c>
      <c r="R56">
        <v>0.42</v>
      </c>
      <c r="S56">
        <v>4.5149999999999997</v>
      </c>
    </row>
    <row r="57" spans="2:19" x14ac:dyDescent="0.25">
      <c r="N57">
        <v>0.66</v>
      </c>
      <c r="O57">
        <v>2.9319999999999999</v>
      </c>
      <c r="R57">
        <v>0.42</v>
      </c>
      <c r="S57">
        <v>4.5510000000000002</v>
      </c>
    </row>
    <row r="58" spans="2:19" x14ac:dyDescent="0.25">
      <c r="N58">
        <v>0.67</v>
      </c>
      <c r="O58">
        <v>2.9540000000000002</v>
      </c>
      <c r="R58">
        <v>0.42</v>
      </c>
      <c r="S58">
        <v>4.5860000000000003</v>
      </c>
    </row>
    <row r="59" spans="2:19" x14ac:dyDescent="0.25">
      <c r="N59">
        <v>0.67</v>
      </c>
      <c r="O59">
        <v>2.9769999999999999</v>
      </c>
    </row>
  </sheetData>
  <mergeCells count="5">
    <mergeCell ref="B2:D2"/>
    <mergeCell ref="F2:H2"/>
    <mergeCell ref="J2:L2"/>
    <mergeCell ref="N2:P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68"/>
  <sheetViews>
    <sheetView topLeftCell="AV1" workbookViewId="0">
      <selection activeCell="BC25" sqref="BC25"/>
    </sheetView>
  </sheetViews>
  <sheetFormatPr baseColWidth="10" defaultRowHeight="15" x14ac:dyDescent="0.25"/>
  <cols>
    <col min="2" max="2" width="17.42578125" customWidth="1"/>
    <col min="3" max="3" width="16.5703125" customWidth="1"/>
    <col min="4" max="4" width="22.42578125" customWidth="1"/>
    <col min="5" max="6" width="21.7109375" customWidth="1"/>
    <col min="7" max="7" width="13.85546875" customWidth="1"/>
    <col min="8" max="8" width="18.85546875" customWidth="1"/>
    <col min="11" max="11" width="21.140625" customWidth="1"/>
    <col min="12" max="12" width="14.5703125" customWidth="1"/>
    <col min="13" max="13" width="13.140625" customWidth="1"/>
    <col min="14" max="14" width="24.28515625" customWidth="1"/>
    <col min="15" max="15" width="21.7109375" customWidth="1"/>
    <col min="16" max="16" width="12.42578125" customWidth="1"/>
    <col min="17" max="18" width="13.7109375" customWidth="1"/>
    <col min="20" max="20" width="23.140625" customWidth="1"/>
    <col min="23" max="23" width="30.28515625" customWidth="1"/>
    <col min="24" max="24" width="24" customWidth="1"/>
    <col min="26" max="26" width="16.140625" customWidth="1"/>
    <col min="29" max="29" width="29.85546875" customWidth="1"/>
    <col min="30" max="30" width="14.140625" customWidth="1"/>
    <col min="31" max="31" width="16.85546875" customWidth="1"/>
    <col min="32" max="32" width="38.85546875" customWidth="1"/>
    <col min="33" max="33" width="26.5703125" customWidth="1"/>
    <col min="34" max="34" width="12.85546875" customWidth="1"/>
    <col min="35" max="35" width="19.7109375" customWidth="1"/>
    <col min="38" max="38" width="21.140625" customWidth="1"/>
    <col min="39" max="39" width="12.7109375" customWidth="1"/>
    <col min="40" max="40" width="14.140625" customWidth="1"/>
    <col min="41" max="41" width="31.7109375" customWidth="1"/>
    <col min="42" max="42" width="22.28515625" customWidth="1"/>
    <col min="43" max="43" width="13.140625" customWidth="1"/>
    <col min="44" max="44" width="16.7109375" customWidth="1"/>
    <col min="47" max="47" width="24.140625" customWidth="1"/>
    <col min="49" max="49" width="19" customWidth="1"/>
    <col min="50" max="50" width="23.140625" customWidth="1"/>
    <col min="51" max="51" width="22.42578125" customWidth="1"/>
    <col min="52" max="52" width="14.140625" customWidth="1"/>
    <col min="53" max="53" width="17.5703125" customWidth="1"/>
  </cols>
  <sheetData>
    <row r="2" spans="2:54" x14ac:dyDescent="0.25">
      <c r="B2" s="1" t="s">
        <v>23</v>
      </c>
      <c r="C2" s="1"/>
      <c r="D2" s="1"/>
      <c r="E2" s="1"/>
      <c r="F2" s="1"/>
      <c r="G2" s="1"/>
      <c r="H2" s="1"/>
      <c r="K2" s="1" t="s">
        <v>29</v>
      </c>
      <c r="L2" s="1"/>
      <c r="M2" s="1"/>
      <c r="N2" s="1"/>
      <c r="O2" s="1"/>
      <c r="P2" s="1"/>
      <c r="T2" s="1" t="s">
        <v>30</v>
      </c>
      <c r="U2" s="1"/>
      <c r="V2" s="1"/>
      <c r="W2" s="1"/>
      <c r="X2" s="1"/>
      <c r="Y2" s="1"/>
      <c r="AC2" s="1" t="s">
        <v>33</v>
      </c>
      <c r="AD2" s="1"/>
      <c r="AE2" s="1"/>
      <c r="AF2" s="1"/>
      <c r="AG2" s="1"/>
      <c r="AH2" s="1"/>
      <c r="AL2" s="1" t="s">
        <v>35</v>
      </c>
      <c r="AM2" s="1"/>
      <c r="AN2" s="1"/>
      <c r="AO2" s="1"/>
      <c r="AP2" s="1"/>
      <c r="AQ2" s="1"/>
      <c r="AR2" s="1"/>
      <c r="AU2" s="1" t="s">
        <v>37</v>
      </c>
      <c r="AV2" s="1"/>
      <c r="AW2" s="1"/>
      <c r="AX2" s="1"/>
      <c r="AY2" s="1"/>
      <c r="AZ2" s="1"/>
      <c r="BA2" s="1"/>
    </row>
    <row r="3" spans="2:54" x14ac:dyDescent="0.25">
      <c r="B3" t="s">
        <v>19</v>
      </c>
      <c r="C3" t="s">
        <v>3</v>
      </c>
      <c r="D3" t="s">
        <v>5</v>
      </c>
      <c r="F3" t="s">
        <v>21</v>
      </c>
      <c r="G3" t="s">
        <v>3</v>
      </c>
      <c r="H3" t="s">
        <v>22</v>
      </c>
      <c r="K3" t="s">
        <v>25</v>
      </c>
      <c r="L3" t="s">
        <v>3</v>
      </c>
      <c r="M3" t="s">
        <v>5</v>
      </c>
      <c r="O3" t="s">
        <v>26</v>
      </c>
      <c r="P3" t="s">
        <v>3</v>
      </c>
      <c r="Q3" t="s">
        <v>22</v>
      </c>
      <c r="T3" t="s">
        <v>27</v>
      </c>
      <c r="U3" t="s">
        <v>3</v>
      </c>
      <c r="V3" t="s">
        <v>5</v>
      </c>
      <c r="X3" t="s">
        <v>28</v>
      </c>
      <c r="Y3" t="s">
        <v>3</v>
      </c>
      <c r="Z3" t="s">
        <v>22</v>
      </c>
      <c r="AC3" t="s">
        <v>31</v>
      </c>
      <c r="AD3" t="s">
        <v>3</v>
      </c>
      <c r="AE3" t="s">
        <v>44</v>
      </c>
      <c r="AG3" t="s">
        <v>32</v>
      </c>
      <c r="AH3" t="s">
        <v>3</v>
      </c>
      <c r="AI3" t="s">
        <v>45</v>
      </c>
      <c r="AL3" t="s">
        <v>34</v>
      </c>
      <c r="AM3" t="s">
        <v>3</v>
      </c>
      <c r="AN3" t="s">
        <v>44</v>
      </c>
      <c r="AP3" t="s">
        <v>36</v>
      </c>
      <c r="AQ3" t="s">
        <v>3</v>
      </c>
      <c r="AR3" t="s">
        <v>45</v>
      </c>
      <c r="AU3" t="s">
        <v>38</v>
      </c>
      <c r="AV3" t="s">
        <v>3</v>
      </c>
      <c r="AW3" t="s">
        <v>5</v>
      </c>
      <c r="AY3" t="s">
        <v>39</v>
      </c>
      <c r="AZ3" t="s">
        <v>3</v>
      </c>
      <c r="BA3" t="s">
        <v>22</v>
      </c>
    </row>
    <row r="4" spans="2:54" x14ac:dyDescent="0.25">
      <c r="B4" t="s">
        <v>1</v>
      </c>
      <c r="C4" t="s">
        <v>4</v>
      </c>
      <c r="D4" t="s">
        <v>20</v>
      </c>
      <c r="F4" t="s">
        <v>1</v>
      </c>
      <c r="G4" t="s">
        <v>4</v>
      </c>
      <c r="H4">
        <v>-0.10199999999999999</v>
      </c>
      <c r="I4">
        <f>+-0.0013</f>
        <v>-1.2999999999999999E-3</v>
      </c>
      <c r="K4" t="s">
        <v>1</v>
      </c>
      <c r="L4" t="s">
        <v>4</v>
      </c>
      <c r="M4" t="s">
        <v>40</v>
      </c>
      <c r="O4" t="s">
        <v>1</v>
      </c>
      <c r="P4" t="s">
        <v>4</v>
      </c>
      <c r="Q4">
        <v>-0.107</v>
      </c>
      <c r="R4">
        <f>+-0.001</f>
        <v>-1E-3</v>
      </c>
      <c r="T4" t="s">
        <v>1</v>
      </c>
      <c r="U4" t="s">
        <v>4</v>
      </c>
      <c r="V4" t="s">
        <v>42</v>
      </c>
      <c r="X4" t="s">
        <v>1</v>
      </c>
      <c r="Y4" t="s">
        <v>4</v>
      </c>
      <c r="Z4">
        <v>-6.3899999999999998E-2</v>
      </c>
      <c r="AA4">
        <f>+-0.0011</f>
        <v>-1.1000000000000001E-3</v>
      </c>
      <c r="AC4" t="s">
        <v>1</v>
      </c>
      <c r="AD4" t="s">
        <v>4</v>
      </c>
      <c r="AE4" t="s">
        <v>46</v>
      </c>
      <c r="AG4" t="s">
        <v>1</v>
      </c>
      <c r="AH4" t="s">
        <v>4</v>
      </c>
      <c r="AI4">
        <f>-0.0545</f>
        <v>-5.45E-2</v>
      </c>
      <c r="AJ4">
        <f>+-6.9*10^-4</f>
        <v>-6.9000000000000008E-4</v>
      </c>
      <c r="AL4" t="s">
        <v>1</v>
      </c>
      <c r="AM4" t="s">
        <v>4</v>
      </c>
      <c r="AN4" t="s">
        <v>47</v>
      </c>
      <c r="AP4" t="s">
        <v>1</v>
      </c>
      <c r="AQ4" t="s">
        <v>4</v>
      </c>
      <c r="AR4">
        <v>-5.91E-2</v>
      </c>
      <c r="AS4">
        <f>+-5.6*10^-4</f>
        <v>-5.5999999999999995E-4</v>
      </c>
      <c r="AU4" t="s">
        <v>1</v>
      </c>
      <c r="AV4" t="s">
        <v>4</v>
      </c>
      <c r="AW4" t="s">
        <v>49</v>
      </c>
      <c r="AY4" t="s">
        <v>1</v>
      </c>
      <c r="AZ4" t="s">
        <v>4</v>
      </c>
      <c r="BA4">
        <v>-4.8500000000000001E-2</v>
      </c>
      <c r="BB4">
        <f>+-6.3*10^-4</f>
        <v>-6.3000000000000003E-4</v>
      </c>
    </row>
    <row r="5" spans="2:54" x14ac:dyDescent="0.25">
      <c r="B5">
        <v>0.24</v>
      </c>
      <c r="C5">
        <v>0.82299999999999995</v>
      </c>
      <c r="D5">
        <v>0.58299999999999996</v>
      </c>
      <c r="F5">
        <v>0.31</v>
      </c>
      <c r="G5">
        <v>0.54500000000000004</v>
      </c>
      <c r="H5">
        <v>-0.10199999999999999</v>
      </c>
      <c r="K5">
        <v>0.3</v>
      </c>
      <c r="L5">
        <v>6.2729999999999997</v>
      </c>
      <c r="M5">
        <v>0.39</v>
      </c>
      <c r="O5">
        <v>0.28000000000000003</v>
      </c>
      <c r="P5">
        <v>1.2749999999999999</v>
      </c>
      <c r="T5">
        <v>0.24</v>
      </c>
      <c r="U5">
        <v>2.5609999999999999</v>
      </c>
      <c r="V5">
        <v>0.32</v>
      </c>
      <c r="X5">
        <v>0.28999999999999998</v>
      </c>
      <c r="Y5">
        <v>0.38800000000000001</v>
      </c>
      <c r="AC5">
        <v>0.2</v>
      </c>
      <c r="AD5">
        <v>1.0620000000000001</v>
      </c>
      <c r="AE5">
        <v>0.26200000000000001</v>
      </c>
      <c r="AG5">
        <v>0.28000000000000003</v>
      </c>
      <c r="AH5">
        <v>1.69</v>
      </c>
      <c r="AL5">
        <v>0.17</v>
      </c>
      <c r="AM5">
        <v>0.96599999999999997</v>
      </c>
      <c r="AN5">
        <v>0.21299999999999999</v>
      </c>
      <c r="AP5">
        <v>0.27</v>
      </c>
      <c r="AQ5">
        <v>1.5940000000000001</v>
      </c>
      <c r="AU5">
        <v>0.16</v>
      </c>
      <c r="AV5">
        <v>1.103</v>
      </c>
      <c r="AW5">
        <v>0.19</v>
      </c>
      <c r="AY5">
        <v>0.27</v>
      </c>
      <c r="AZ5">
        <v>1.9039999999999999</v>
      </c>
    </row>
    <row r="6" spans="2:54" x14ac:dyDescent="0.25">
      <c r="B6">
        <v>0.27</v>
      </c>
      <c r="C6">
        <v>0.88300000000000001</v>
      </c>
      <c r="F6">
        <v>0.3</v>
      </c>
      <c r="G6">
        <v>0.59399999999999997</v>
      </c>
      <c r="K6">
        <v>0.32</v>
      </c>
      <c r="L6">
        <v>6.3220000000000001</v>
      </c>
      <c r="O6">
        <v>0.27</v>
      </c>
      <c r="P6">
        <v>1.33</v>
      </c>
      <c r="T6">
        <v>0.26</v>
      </c>
      <c r="U6">
        <v>2.621</v>
      </c>
      <c r="X6">
        <v>0.28999999999999998</v>
      </c>
      <c r="Y6">
        <v>0.44</v>
      </c>
      <c r="AC6">
        <v>0.22</v>
      </c>
      <c r="AD6">
        <v>1.135</v>
      </c>
      <c r="AG6">
        <v>0.28000000000000003</v>
      </c>
      <c r="AH6">
        <v>1.744</v>
      </c>
      <c r="AL6">
        <v>0.19</v>
      </c>
      <c r="AM6">
        <v>1.048</v>
      </c>
      <c r="AP6">
        <v>0.27</v>
      </c>
      <c r="AQ6">
        <v>1.649</v>
      </c>
      <c r="AU6">
        <v>0.18</v>
      </c>
      <c r="AV6">
        <v>1.19</v>
      </c>
      <c r="AY6">
        <v>0.27</v>
      </c>
      <c r="AZ6">
        <v>1.96</v>
      </c>
    </row>
    <row r="7" spans="2:54" x14ac:dyDescent="0.25">
      <c r="B7">
        <v>0.3</v>
      </c>
      <c r="C7">
        <v>0.93600000000000005</v>
      </c>
      <c r="E7" t="s">
        <v>24</v>
      </c>
      <c r="F7">
        <v>0.3</v>
      </c>
      <c r="G7">
        <v>0.64500000000000002</v>
      </c>
      <c r="K7">
        <v>0.33</v>
      </c>
      <c r="L7">
        <v>6.3680000000000003</v>
      </c>
      <c r="N7" t="s">
        <v>41</v>
      </c>
      <c r="O7">
        <v>0.26</v>
      </c>
      <c r="P7">
        <v>1.387</v>
      </c>
      <c r="T7">
        <v>0.27</v>
      </c>
      <c r="U7">
        <v>2.6779999999999999</v>
      </c>
      <c r="W7" t="s">
        <v>43</v>
      </c>
      <c r="X7">
        <v>0.28000000000000003</v>
      </c>
      <c r="Y7">
        <v>0.49299999999999999</v>
      </c>
      <c r="AC7">
        <v>0.23</v>
      </c>
      <c r="AD7">
        <v>1.2010000000000001</v>
      </c>
      <c r="AF7" t="s">
        <v>43</v>
      </c>
      <c r="AG7">
        <v>0.27</v>
      </c>
      <c r="AH7">
        <v>1.798</v>
      </c>
      <c r="AL7">
        <v>0.21</v>
      </c>
      <c r="AM7">
        <v>1.123</v>
      </c>
      <c r="AO7" t="s">
        <v>48</v>
      </c>
      <c r="AP7">
        <v>0.27</v>
      </c>
      <c r="AQ7">
        <v>1.704</v>
      </c>
      <c r="AU7">
        <v>0.2</v>
      </c>
      <c r="AV7">
        <v>1.27</v>
      </c>
      <c r="AX7" t="s">
        <v>43</v>
      </c>
      <c r="AY7">
        <v>0.26</v>
      </c>
      <c r="AZ7">
        <v>2.0169999999999999</v>
      </c>
    </row>
    <row r="8" spans="2:54" x14ac:dyDescent="0.25">
      <c r="B8">
        <v>0.33</v>
      </c>
      <c r="C8">
        <v>0.98399999999999999</v>
      </c>
      <c r="E8">
        <f>D5-H5</f>
        <v>0.68499999999999994</v>
      </c>
      <c r="F8">
        <v>0.28999999999999998</v>
      </c>
      <c r="G8">
        <v>0.69599999999999995</v>
      </c>
      <c r="K8">
        <v>0.35</v>
      </c>
      <c r="L8">
        <v>6.4119999999999999</v>
      </c>
      <c r="N8">
        <f>M5-Q4</f>
        <v>0.497</v>
      </c>
      <c r="O8">
        <v>0.25</v>
      </c>
      <c r="P8">
        <v>1.4450000000000001</v>
      </c>
      <c r="T8">
        <v>0.28999999999999998</v>
      </c>
      <c r="U8">
        <v>2.7309999999999999</v>
      </c>
      <c r="W8">
        <f>V5-Z4</f>
        <v>0.38390000000000002</v>
      </c>
      <c r="X8">
        <v>0.28000000000000003</v>
      </c>
      <c r="Y8">
        <v>0.54600000000000004</v>
      </c>
      <c r="AC8">
        <v>0.25</v>
      </c>
      <c r="AD8">
        <v>1.2629999999999999</v>
      </c>
      <c r="AF8">
        <f>AE5-AI4</f>
        <v>0.3165</v>
      </c>
      <c r="AG8">
        <v>0.27</v>
      </c>
      <c r="AH8">
        <v>1.853</v>
      </c>
      <c r="AL8">
        <v>0.22</v>
      </c>
      <c r="AM8">
        <v>1.1930000000000001</v>
      </c>
      <c r="AO8">
        <f>AN5-AR4</f>
        <v>0.27210000000000001</v>
      </c>
      <c r="AP8">
        <v>0.26</v>
      </c>
      <c r="AQ8">
        <v>1.7609999999999999</v>
      </c>
      <c r="AU8">
        <v>0.21</v>
      </c>
      <c r="AV8">
        <v>1.3440000000000001</v>
      </c>
      <c r="AX8">
        <f>AW5-BA4</f>
        <v>0.23849999999999999</v>
      </c>
      <c r="AY8">
        <v>0.26</v>
      </c>
      <c r="AZ8">
        <v>2.0739999999999998</v>
      </c>
    </row>
    <row r="9" spans="2:54" x14ac:dyDescent="0.25">
      <c r="B9">
        <v>0.35</v>
      </c>
      <c r="C9">
        <v>1.028</v>
      </c>
      <c r="F9">
        <v>0.28000000000000003</v>
      </c>
      <c r="G9">
        <v>0.748</v>
      </c>
      <c r="K9">
        <v>0.37</v>
      </c>
      <c r="L9">
        <v>6.4539999999999997</v>
      </c>
      <c r="O9">
        <v>0.25</v>
      </c>
      <c r="P9">
        <v>1.5049999999999999</v>
      </c>
      <c r="T9">
        <v>0.31</v>
      </c>
      <c r="U9">
        <v>2.782</v>
      </c>
      <c r="X9">
        <v>0.27</v>
      </c>
      <c r="Y9">
        <v>0.60099999999999998</v>
      </c>
      <c r="AC9">
        <v>0.27</v>
      </c>
      <c r="AD9">
        <v>1.321</v>
      </c>
      <c r="AG9">
        <v>0.27</v>
      </c>
      <c r="AH9">
        <v>1.909</v>
      </c>
      <c r="AL9">
        <v>0.23</v>
      </c>
      <c r="AM9">
        <v>1.2589999999999999</v>
      </c>
      <c r="AP9">
        <v>0.26</v>
      </c>
      <c r="AQ9">
        <v>1.8180000000000001</v>
      </c>
      <c r="AU9">
        <v>0.22</v>
      </c>
      <c r="AV9">
        <v>1.4139999999999999</v>
      </c>
      <c r="AY9">
        <v>0.26</v>
      </c>
      <c r="AZ9">
        <v>2.1320000000000001</v>
      </c>
    </row>
    <row r="10" spans="2:54" x14ac:dyDescent="0.25">
      <c r="B10">
        <v>0.37</v>
      </c>
      <c r="C10">
        <v>1.07</v>
      </c>
      <c r="E10" t="s">
        <v>50</v>
      </c>
      <c r="F10">
        <v>0.28000000000000003</v>
      </c>
      <c r="G10">
        <v>0.80200000000000005</v>
      </c>
      <c r="K10">
        <v>0.38</v>
      </c>
      <c r="L10">
        <v>6.4939999999999998</v>
      </c>
      <c r="O10">
        <v>0.24</v>
      </c>
      <c r="P10">
        <v>1.5660000000000001</v>
      </c>
      <c r="T10">
        <v>0.32</v>
      </c>
      <c r="U10">
        <v>2.83</v>
      </c>
      <c r="X10">
        <v>0.27</v>
      </c>
      <c r="Y10">
        <v>0.65600000000000003</v>
      </c>
      <c r="AC10">
        <v>0.28000000000000003</v>
      </c>
      <c r="AD10">
        <v>1.377</v>
      </c>
      <c r="AG10">
        <v>0.27</v>
      </c>
      <c r="AH10">
        <v>1.9650000000000001</v>
      </c>
      <c r="AL10">
        <v>0.25</v>
      </c>
      <c r="AM10">
        <v>1.321</v>
      </c>
      <c r="AP10">
        <v>0.26</v>
      </c>
      <c r="AQ10">
        <v>1.8759999999999999</v>
      </c>
      <c r="AU10">
        <v>0.23</v>
      </c>
      <c r="AV10">
        <v>1.4790000000000001</v>
      </c>
      <c r="AY10">
        <v>0.25</v>
      </c>
      <c r="AZ10">
        <v>2.1909999999999998</v>
      </c>
    </row>
    <row r="11" spans="2:54" x14ac:dyDescent="0.25">
      <c r="B11">
        <v>0.39</v>
      </c>
      <c r="C11">
        <v>1.109</v>
      </c>
      <c r="E11">
        <v>66.13</v>
      </c>
      <c r="F11">
        <v>0.27</v>
      </c>
      <c r="G11">
        <v>0.85599999999999998</v>
      </c>
      <c r="K11">
        <v>0.39</v>
      </c>
      <c r="L11">
        <v>6.5330000000000004</v>
      </c>
      <c r="O11">
        <v>0.23</v>
      </c>
      <c r="P11">
        <v>1.629</v>
      </c>
      <c r="T11">
        <v>0.33</v>
      </c>
      <c r="U11">
        <v>2.8759999999999999</v>
      </c>
      <c r="X11">
        <v>0.27</v>
      </c>
      <c r="Y11">
        <v>0.71199999999999997</v>
      </c>
      <c r="AC11">
        <v>0.28999999999999998</v>
      </c>
      <c r="AD11">
        <v>1.429</v>
      </c>
      <c r="AG11">
        <v>0.26</v>
      </c>
      <c r="AH11">
        <v>2.0219999999999998</v>
      </c>
      <c r="AL11">
        <v>0.26</v>
      </c>
      <c r="AM11">
        <v>1.381</v>
      </c>
      <c r="AP11">
        <v>0.25</v>
      </c>
      <c r="AQ11">
        <v>1.9350000000000001</v>
      </c>
      <c r="AU11">
        <v>0.25</v>
      </c>
      <c r="AV11">
        <v>1.542</v>
      </c>
      <c r="AY11">
        <v>0.25</v>
      </c>
      <c r="AZ11">
        <v>2.2509999999999999</v>
      </c>
    </row>
    <row r="12" spans="2:54" x14ac:dyDescent="0.25">
      <c r="B12">
        <v>0.42</v>
      </c>
      <c r="C12">
        <v>1.1459999999999999</v>
      </c>
      <c r="E12">
        <f>1/E11</f>
        <v>1.5121729925903524E-2</v>
      </c>
      <c r="F12">
        <v>0.27</v>
      </c>
      <c r="G12">
        <v>0.91200000000000003</v>
      </c>
      <c r="K12">
        <v>0.41</v>
      </c>
      <c r="L12">
        <v>6.57</v>
      </c>
      <c r="N12">
        <v>86.13</v>
      </c>
      <c r="O12">
        <v>0.23</v>
      </c>
      <c r="P12">
        <v>1.694</v>
      </c>
      <c r="T12">
        <v>0.35</v>
      </c>
      <c r="U12">
        <v>2.92</v>
      </c>
      <c r="X12">
        <v>0.26</v>
      </c>
      <c r="Y12">
        <v>0.76900000000000002</v>
      </c>
      <c r="AC12">
        <v>0.3</v>
      </c>
      <c r="AD12">
        <v>1.48</v>
      </c>
      <c r="AG12">
        <v>0.26</v>
      </c>
      <c r="AH12">
        <v>2.08</v>
      </c>
      <c r="AL12">
        <v>0.27</v>
      </c>
      <c r="AM12">
        <v>1.4370000000000001</v>
      </c>
      <c r="AP12">
        <v>0.25</v>
      </c>
      <c r="AQ12">
        <v>1.9950000000000001</v>
      </c>
      <c r="AU12">
        <v>0.26</v>
      </c>
      <c r="AV12">
        <v>1.601</v>
      </c>
      <c r="AY12">
        <v>0.24</v>
      </c>
      <c r="AZ12">
        <v>2.3119999999999998</v>
      </c>
    </row>
    <row r="13" spans="2:54" x14ac:dyDescent="0.25">
      <c r="B13">
        <v>0.44</v>
      </c>
      <c r="C13">
        <v>1.181</v>
      </c>
      <c r="F13">
        <v>0.26</v>
      </c>
      <c r="G13">
        <v>0.96899999999999997</v>
      </c>
      <c r="K13">
        <v>0.42</v>
      </c>
      <c r="L13">
        <v>6.6070000000000002</v>
      </c>
      <c r="N13">
        <f>1/N12</f>
        <v>1.1610356437942646E-2</v>
      </c>
      <c r="O13">
        <v>0.22</v>
      </c>
      <c r="P13">
        <v>1.7609999999999999</v>
      </c>
      <c r="T13">
        <v>0.36</v>
      </c>
      <c r="U13">
        <v>2.9620000000000002</v>
      </c>
      <c r="W13">
        <v>106.13</v>
      </c>
      <c r="X13">
        <v>0.25</v>
      </c>
      <c r="Y13">
        <v>0.82699999999999996</v>
      </c>
      <c r="AC13">
        <v>0.32</v>
      </c>
      <c r="AD13">
        <v>1.528</v>
      </c>
      <c r="AG13">
        <v>0.25</v>
      </c>
      <c r="AH13">
        <v>2.1389999999999998</v>
      </c>
      <c r="AL13">
        <v>0.28000000000000003</v>
      </c>
      <c r="AM13">
        <v>1.492</v>
      </c>
      <c r="AO13">
        <v>146.13</v>
      </c>
      <c r="AP13">
        <v>0.24</v>
      </c>
      <c r="AQ13">
        <v>2.056</v>
      </c>
      <c r="AU13">
        <v>0.27</v>
      </c>
      <c r="AV13">
        <v>1.6579999999999999</v>
      </c>
      <c r="AY13">
        <v>0.24</v>
      </c>
      <c r="AZ13">
        <v>2.3740000000000001</v>
      </c>
    </row>
    <row r="14" spans="2:54" x14ac:dyDescent="0.25">
      <c r="B14">
        <v>0.46</v>
      </c>
      <c r="C14">
        <v>1.2150000000000001</v>
      </c>
      <c r="F14">
        <v>0.25</v>
      </c>
      <c r="G14">
        <v>1.0269999999999999</v>
      </c>
      <c r="K14">
        <v>0.43</v>
      </c>
      <c r="L14">
        <v>6.6420000000000003</v>
      </c>
      <c r="O14">
        <v>0.21</v>
      </c>
      <c r="P14">
        <v>1.831</v>
      </c>
      <c r="T14">
        <v>0.37</v>
      </c>
      <c r="U14">
        <v>3.0030000000000001</v>
      </c>
      <c r="W14">
        <f>1/W13</f>
        <v>9.4224064826156605E-3</v>
      </c>
      <c r="X14">
        <v>0.25</v>
      </c>
      <c r="Y14">
        <v>0.88700000000000001</v>
      </c>
      <c r="AC14">
        <v>0.33</v>
      </c>
      <c r="AD14">
        <v>1.575</v>
      </c>
      <c r="AG14">
        <v>0.25</v>
      </c>
      <c r="AH14">
        <v>2.2000000000000002</v>
      </c>
      <c r="AL14">
        <v>0.28999999999999998</v>
      </c>
      <c r="AM14">
        <v>1.544</v>
      </c>
      <c r="AO14">
        <f>1/AO13</f>
        <v>6.8432217888181757E-3</v>
      </c>
      <c r="AP14">
        <v>0.24</v>
      </c>
      <c r="AQ14">
        <v>2.1179999999999999</v>
      </c>
      <c r="AU14">
        <v>0.28000000000000003</v>
      </c>
      <c r="AV14">
        <v>1.7130000000000001</v>
      </c>
      <c r="AY14">
        <v>0.24</v>
      </c>
      <c r="AZ14">
        <v>2.4359999999999999</v>
      </c>
    </row>
    <row r="15" spans="2:54" x14ac:dyDescent="0.25">
      <c r="B15">
        <v>0.47</v>
      </c>
      <c r="C15">
        <v>1.2470000000000001</v>
      </c>
      <c r="F15">
        <v>0.25</v>
      </c>
      <c r="G15">
        <v>1.087</v>
      </c>
      <c r="K15">
        <v>0.45</v>
      </c>
      <c r="L15">
        <v>6.6760000000000002</v>
      </c>
      <c r="O15">
        <v>0.2</v>
      </c>
      <c r="P15">
        <v>1.9039999999999999</v>
      </c>
      <c r="T15">
        <v>0.39</v>
      </c>
      <c r="U15">
        <v>3.0419999999999998</v>
      </c>
      <c r="X15">
        <v>0.24</v>
      </c>
      <c r="Y15">
        <v>0.94799999999999995</v>
      </c>
      <c r="AC15">
        <v>0.34</v>
      </c>
      <c r="AD15">
        <v>1.62</v>
      </c>
      <c r="AG15">
        <v>0.24</v>
      </c>
      <c r="AH15">
        <v>2.2610000000000001</v>
      </c>
      <c r="AL15">
        <v>0.3</v>
      </c>
      <c r="AM15">
        <v>1.5940000000000001</v>
      </c>
      <c r="AP15">
        <v>0.24</v>
      </c>
      <c r="AQ15">
        <v>2.181</v>
      </c>
      <c r="AU15">
        <v>0.28999999999999998</v>
      </c>
      <c r="AV15">
        <v>1.766</v>
      </c>
      <c r="AX15">
        <v>166.13</v>
      </c>
      <c r="AY15">
        <v>0.24</v>
      </c>
      <c r="AZ15">
        <v>2.4990000000000001</v>
      </c>
    </row>
    <row r="16" spans="2:54" x14ac:dyDescent="0.25">
      <c r="B16">
        <v>0.49</v>
      </c>
      <c r="C16">
        <v>1.278</v>
      </c>
      <c r="F16">
        <v>0.24</v>
      </c>
      <c r="G16">
        <v>1.149</v>
      </c>
      <c r="K16">
        <v>0.46</v>
      </c>
      <c r="L16">
        <v>6.7089999999999996</v>
      </c>
      <c r="O16">
        <v>0.2</v>
      </c>
      <c r="P16">
        <v>1.98</v>
      </c>
      <c r="T16">
        <v>0.4</v>
      </c>
      <c r="U16">
        <v>3.08</v>
      </c>
      <c r="X16">
        <v>0.24</v>
      </c>
      <c r="Y16">
        <v>1.01</v>
      </c>
      <c r="AC16">
        <v>0.35</v>
      </c>
      <c r="AD16">
        <v>1.663</v>
      </c>
      <c r="AF16">
        <v>126.13</v>
      </c>
      <c r="AG16">
        <v>0.24</v>
      </c>
      <c r="AH16">
        <v>2.3239999999999998</v>
      </c>
      <c r="AL16">
        <v>0.32</v>
      </c>
      <c r="AM16">
        <v>1.6419999999999999</v>
      </c>
      <c r="AP16">
        <v>0.23</v>
      </c>
      <c r="AQ16">
        <v>2.246</v>
      </c>
      <c r="AU16">
        <v>0.28999999999999998</v>
      </c>
      <c r="AV16">
        <v>1.8180000000000001</v>
      </c>
      <c r="AX16">
        <f>1/AX15</f>
        <v>6.0193824113645945E-3</v>
      </c>
      <c r="AY16">
        <v>0.23</v>
      </c>
      <c r="AZ16">
        <v>2.5630000000000002</v>
      </c>
    </row>
    <row r="17" spans="2:55" x14ac:dyDescent="0.25">
      <c r="B17">
        <v>0.51</v>
      </c>
      <c r="C17">
        <v>1.3080000000000001</v>
      </c>
      <c r="F17">
        <v>0.23</v>
      </c>
      <c r="G17">
        <v>1.212</v>
      </c>
      <c r="K17">
        <v>0.47</v>
      </c>
      <c r="L17">
        <v>6.7409999999999997</v>
      </c>
      <c r="O17">
        <v>0.19</v>
      </c>
      <c r="P17">
        <v>2.0579999999999998</v>
      </c>
      <c r="T17">
        <v>0.41</v>
      </c>
      <c r="U17">
        <v>3.1179999999999999</v>
      </c>
      <c r="X17">
        <v>0.23</v>
      </c>
      <c r="Y17">
        <v>1.073</v>
      </c>
      <c r="AC17">
        <v>0.36</v>
      </c>
      <c r="AD17">
        <v>1.7050000000000001</v>
      </c>
      <c r="AF17">
        <f>1/AF16</f>
        <v>7.9283279156425919E-3</v>
      </c>
      <c r="AG17">
        <v>0.23</v>
      </c>
      <c r="AH17">
        <v>2.387</v>
      </c>
      <c r="AL17">
        <v>0.33</v>
      </c>
      <c r="AM17">
        <v>1.6890000000000001</v>
      </c>
      <c r="AP17">
        <v>0.23</v>
      </c>
      <c r="AQ17">
        <v>2.3109999999999999</v>
      </c>
      <c r="AU17">
        <v>0.3</v>
      </c>
      <c r="AV17">
        <v>1.8680000000000001</v>
      </c>
      <c r="AY17">
        <v>0.23</v>
      </c>
      <c r="AZ17">
        <v>2.6280000000000001</v>
      </c>
    </row>
    <row r="18" spans="2:55" x14ac:dyDescent="0.25">
      <c r="B18">
        <v>0.53</v>
      </c>
      <c r="C18">
        <v>1.337</v>
      </c>
      <c r="F18">
        <v>0.22</v>
      </c>
      <c r="G18">
        <v>1.278</v>
      </c>
      <c r="K18">
        <v>0.49</v>
      </c>
      <c r="L18">
        <v>6.7720000000000002</v>
      </c>
      <c r="O18">
        <v>0.18</v>
      </c>
      <c r="P18">
        <v>2.14</v>
      </c>
      <c r="T18">
        <v>0.42</v>
      </c>
      <c r="U18">
        <v>3.1539999999999999</v>
      </c>
      <c r="X18">
        <v>0.23</v>
      </c>
      <c r="Y18">
        <v>1.1379999999999999</v>
      </c>
      <c r="AC18">
        <v>0.37</v>
      </c>
      <c r="AD18">
        <v>1.746</v>
      </c>
      <c r="AG18">
        <v>0.23</v>
      </c>
      <c r="AH18">
        <v>2.452</v>
      </c>
      <c r="AL18">
        <v>0.33</v>
      </c>
      <c r="AM18">
        <v>1.734</v>
      </c>
      <c r="AP18">
        <v>0.22</v>
      </c>
      <c r="AQ18">
        <v>2.3769999999999998</v>
      </c>
      <c r="AU18">
        <v>0.31</v>
      </c>
      <c r="AV18">
        <v>1.917</v>
      </c>
      <c r="AY18">
        <v>0.23</v>
      </c>
      <c r="AZ18">
        <v>2.694</v>
      </c>
    </row>
    <row r="19" spans="2:55" x14ac:dyDescent="0.25">
      <c r="B19">
        <v>0.54</v>
      </c>
      <c r="C19">
        <v>1.365</v>
      </c>
      <c r="F19">
        <v>0.22</v>
      </c>
      <c r="G19">
        <v>1.3460000000000001</v>
      </c>
      <c r="K19">
        <v>0.5</v>
      </c>
      <c r="L19">
        <v>6.8029999999999999</v>
      </c>
      <c r="O19">
        <v>0.17</v>
      </c>
      <c r="P19">
        <v>2.226</v>
      </c>
      <c r="T19">
        <v>0.43</v>
      </c>
      <c r="U19">
        <v>3.1890000000000001</v>
      </c>
      <c r="X19">
        <v>0.23</v>
      </c>
      <c r="Y19">
        <v>1.204</v>
      </c>
      <c r="AC19">
        <v>0.38</v>
      </c>
      <c r="AD19">
        <v>1.786</v>
      </c>
      <c r="AG19">
        <v>0.23</v>
      </c>
      <c r="AH19">
        <v>2.5179999999999998</v>
      </c>
      <c r="AL19">
        <v>0.34</v>
      </c>
      <c r="AM19">
        <v>1.7789999999999999</v>
      </c>
      <c r="AP19">
        <v>0.22</v>
      </c>
      <c r="AQ19">
        <v>2.4449999999999998</v>
      </c>
      <c r="AU19">
        <v>0.32</v>
      </c>
      <c r="AV19">
        <v>1.964</v>
      </c>
      <c r="AY19">
        <v>0.22</v>
      </c>
      <c r="AZ19">
        <v>2.7610000000000001</v>
      </c>
    </row>
    <row r="20" spans="2:55" x14ac:dyDescent="0.25">
      <c r="B20">
        <v>0.56000000000000005</v>
      </c>
      <c r="C20">
        <v>1.3919999999999999</v>
      </c>
      <c r="F20">
        <v>0.21</v>
      </c>
      <c r="G20">
        <v>1.4159999999999999</v>
      </c>
      <c r="K20">
        <v>0.51</v>
      </c>
      <c r="L20">
        <v>6.8319999999999999</v>
      </c>
      <c r="O20">
        <v>0.16</v>
      </c>
      <c r="P20">
        <v>2.3159999999999998</v>
      </c>
      <c r="T20">
        <v>0.44</v>
      </c>
      <c r="U20">
        <v>3.2240000000000002</v>
      </c>
      <c r="X20">
        <v>0.22</v>
      </c>
      <c r="Y20">
        <v>1.2709999999999999</v>
      </c>
      <c r="AC20">
        <v>0.39</v>
      </c>
      <c r="AD20">
        <v>1.8240000000000001</v>
      </c>
      <c r="AG20">
        <v>0.22</v>
      </c>
      <c r="AH20">
        <v>2.585</v>
      </c>
      <c r="AL20">
        <v>0.35</v>
      </c>
      <c r="AM20">
        <v>1.8220000000000001</v>
      </c>
      <c r="AP20">
        <v>0.22</v>
      </c>
      <c r="AQ20">
        <v>2.5129999999999999</v>
      </c>
      <c r="AU20">
        <v>0.33</v>
      </c>
      <c r="AV20">
        <v>2.0099999999999998</v>
      </c>
      <c r="AY20">
        <v>0.22</v>
      </c>
      <c r="AZ20">
        <v>2.8279999999999998</v>
      </c>
    </row>
    <row r="21" spans="2:55" x14ac:dyDescent="0.25">
      <c r="B21">
        <v>0.56999999999999995</v>
      </c>
      <c r="C21">
        <v>1.419</v>
      </c>
      <c r="F21">
        <v>0.2</v>
      </c>
      <c r="G21">
        <v>1.488</v>
      </c>
      <c r="K21">
        <v>0.52</v>
      </c>
      <c r="L21">
        <v>6.8620000000000001</v>
      </c>
      <c r="O21">
        <v>0.15</v>
      </c>
      <c r="P21">
        <v>2.4129999999999998</v>
      </c>
      <c r="T21">
        <v>0.45</v>
      </c>
      <c r="U21">
        <v>3.2570000000000001</v>
      </c>
      <c r="X21">
        <v>0.22</v>
      </c>
      <c r="Y21">
        <v>1.339</v>
      </c>
      <c r="AC21">
        <v>0.4</v>
      </c>
      <c r="AD21">
        <v>1.8620000000000001</v>
      </c>
      <c r="AG21">
        <v>0.22</v>
      </c>
      <c r="AH21">
        <v>2.653</v>
      </c>
      <c r="AL21">
        <v>0.36</v>
      </c>
      <c r="AM21">
        <v>1.8640000000000001</v>
      </c>
      <c r="AP21">
        <v>0.21</v>
      </c>
      <c r="AQ21">
        <v>2.5830000000000002</v>
      </c>
      <c r="AU21">
        <v>0.34</v>
      </c>
      <c r="AV21">
        <v>2.0550000000000002</v>
      </c>
      <c r="AY21">
        <v>0.21</v>
      </c>
      <c r="AZ21">
        <v>2.8980000000000001</v>
      </c>
    </row>
    <row r="22" spans="2:55" x14ac:dyDescent="0.25">
      <c r="B22">
        <v>0.59</v>
      </c>
      <c r="C22">
        <v>1.4450000000000001</v>
      </c>
      <c r="F22">
        <v>0.2</v>
      </c>
      <c r="G22">
        <v>1.5629999999999999</v>
      </c>
      <c r="K22">
        <v>0.53</v>
      </c>
      <c r="L22">
        <v>6.89</v>
      </c>
      <c r="O22">
        <v>0.14000000000000001</v>
      </c>
      <c r="P22">
        <v>2.5179999999999998</v>
      </c>
      <c r="T22">
        <v>0.46</v>
      </c>
      <c r="U22">
        <v>3.29</v>
      </c>
      <c r="X22">
        <v>0.21</v>
      </c>
      <c r="Y22">
        <v>1.4079999999999999</v>
      </c>
      <c r="AC22">
        <v>0.41</v>
      </c>
      <c r="AD22">
        <v>1.899</v>
      </c>
      <c r="AG22">
        <v>0.21</v>
      </c>
      <c r="AH22">
        <v>2.7229999999999999</v>
      </c>
      <c r="AL22">
        <v>0.37</v>
      </c>
      <c r="AM22">
        <v>1.9059999999999999</v>
      </c>
      <c r="AP22">
        <v>0.21</v>
      </c>
      <c r="AQ22">
        <v>2.6539999999999999</v>
      </c>
      <c r="AU22">
        <v>0.35</v>
      </c>
      <c r="AV22">
        <v>2.0990000000000002</v>
      </c>
      <c r="AY22">
        <v>0.21</v>
      </c>
      <c r="AZ22">
        <v>2.9689999999999999</v>
      </c>
    </row>
    <row r="23" spans="2:55" x14ac:dyDescent="0.25">
      <c r="B23">
        <v>0.6</v>
      </c>
      <c r="C23">
        <v>1.47</v>
      </c>
      <c r="F23">
        <v>0.19</v>
      </c>
      <c r="G23">
        <v>1.64</v>
      </c>
      <c r="K23">
        <v>0.54</v>
      </c>
      <c r="L23">
        <v>6.9180000000000001</v>
      </c>
      <c r="O23">
        <v>0.12</v>
      </c>
      <c r="P23">
        <v>2.633</v>
      </c>
      <c r="T23">
        <v>0.47</v>
      </c>
      <c r="U23">
        <v>3.3220000000000001</v>
      </c>
      <c r="X23">
        <v>0.21</v>
      </c>
      <c r="Y23">
        <v>1.48</v>
      </c>
      <c r="AC23">
        <v>0.42</v>
      </c>
      <c r="AD23">
        <v>1.9350000000000001</v>
      </c>
      <c r="AG23">
        <v>0.21</v>
      </c>
      <c r="AH23">
        <v>2.794</v>
      </c>
      <c r="AL23">
        <v>0.38</v>
      </c>
      <c r="AM23">
        <v>1.946</v>
      </c>
      <c r="AP23">
        <v>0.2</v>
      </c>
      <c r="AQ23">
        <v>2.7280000000000002</v>
      </c>
      <c r="AU23">
        <v>0.36</v>
      </c>
      <c r="AV23">
        <v>2.141</v>
      </c>
      <c r="AY23">
        <v>0.21</v>
      </c>
      <c r="AZ23">
        <v>3.0409999999999999</v>
      </c>
      <c r="BC23" t="s">
        <v>51</v>
      </c>
    </row>
    <row r="24" spans="2:55" x14ac:dyDescent="0.25">
      <c r="B24">
        <v>0.62</v>
      </c>
      <c r="C24">
        <v>1.4950000000000001</v>
      </c>
      <c r="F24">
        <v>0.18</v>
      </c>
      <c r="G24">
        <v>1.72</v>
      </c>
      <c r="K24">
        <v>0.55000000000000004</v>
      </c>
      <c r="L24">
        <v>6.9459999999999997</v>
      </c>
      <c r="O24">
        <v>0.11</v>
      </c>
      <c r="P24">
        <v>2.76</v>
      </c>
      <c r="T24">
        <v>0.48</v>
      </c>
      <c r="U24">
        <v>3.3530000000000002</v>
      </c>
      <c r="X24">
        <v>0.2</v>
      </c>
      <c r="Y24">
        <v>1.5529999999999999</v>
      </c>
      <c r="AC24">
        <v>0.43</v>
      </c>
      <c r="AD24">
        <v>1.97</v>
      </c>
      <c r="AG24">
        <v>0.2</v>
      </c>
      <c r="AH24">
        <v>2.867</v>
      </c>
      <c r="AL24">
        <v>0.39</v>
      </c>
      <c r="AM24">
        <v>1.9850000000000001</v>
      </c>
      <c r="AP24">
        <v>0.2</v>
      </c>
      <c r="AQ24">
        <v>2.8029999999999999</v>
      </c>
      <c r="AU24">
        <v>0.36</v>
      </c>
      <c r="AV24">
        <v>2.1829999999999998</v>
      </c>
      <c r="AY24">
        <v>0.2</v>
      </c>
      <c r="AZ24">
        <v>3.1139999999999999</v>
      </c>
      <c r="BC24">
        <v>12.308999999999999</v>
      </c>
    </row>
    <row r="25" spans="2:55" x14ac:dyDescent="0.25">
      <c r="B25">
        <v>0.63</v>
      </c>
      <c r="C25">
        <v>1.5189999999999999</v>
      </c>
      <c r="F25">
        <v>0.18</v>
      </c>
      <c r="G25">
        <v>1.8029999999999999</v>
      </c>
      <c r="K25">
        <v>0.56999999999999995</v>
      </c>
      <c r="L25">
        <v>6.9729999999999999</v>
      </c>
      <c r="O25">
        <v>0.1</v>
      </c>
      <c r="P25">
        <v>2.9020000000000001</v>
      </c>
      <c r="T25">
        <v>0.49</v>
      </c>
      <c r="U25">
        <v>3.3839999999999999</v>
      </c>
      <c r="X25">
        <v>0.2</v>
      </c>
      <c r="Y25">
        <v>1.6279999999999999</v>
      </c>
      <c r="AC25">
        <v>0.44</v>
      </c>
      <c r="AD25">
        <v>2.0049999999999999</v>
      </c>
      <c r="AG25">
        <v>0.2</v>
      </c>
      <c r="AH25">
        <v>2.9409999999999998</v>
      </c>
      <c r="AL25">
        <v>0.39</v>
      </c>
      <c r="AM25">
        <v>2.024</v>
      </c>
      <c r="AP25">
        <v>0.19</v>
      </c>
      <c r="AQ25">
        <v>2.8809999999999998</v>
      </c>
      <c r="AU25">
        <v>0.37</v>
      </c>
      <c r="AV25">
        <v>2.2240000000000002</v>
      </c>
      <c r="AY25">
        <v>0.2</v>
      </c>
      <c r="AZ25">
        <v>3.1890000000000001</v>
      </c>
    </row>
    <row r="26" spans="2:55" x14ac:dyDescent="0.25">
      <c r="B26">
        <v>0.64</v>
      </c>
      <c r="C26">
        <v>1.542</v>
      </c>
      <c r="F26">
        <v>0.17</v>
      </c>
      <c r="G26">
        <v>1.889</v>
      </c>
      <c r="K26">
        <v>0.56999999999999995</v>
      </c>
      <c r="L26">
        <v>6.9989999999999997</v>
      </c>
      <c r="O26">
        <v>0.09</v>
      </c>
      <c r="P26">
        <v>3.0619999999999998</v>
      </c>
      <c r="T26">
        <v>0.5</v>
      </c>
      <c r="U26">
        <v>3.4140000000000001</v>
      </c>
      <c r="X26">
        <v>0.19</v>
      </c>
      <c r="Y26">
        <v>1.706</v>
      </c>
      <c r="AC26">
        <v>0.45</v>
      </c>
      <c r="AD26">
        <v>2.0379999999999998</v>
      </c>
      <c r="AG26">
        <v>0.2</v>
      </c>
      <c r="AH26">
        <v>3.0169999999999999</v>
      </c>
      <c r="AL26">
        <v>0.4</v>
      </c>
      <c r="AM26">
        <v>2.0609999999999999</v>
      </c>
      <c r="AP26">
        <v>0.19</v>
      </c>
      <c r="AQ26">
        <v>2.96</v>
      </c>
      <c r="AU26">
        <v>0.38</v>
      </c>
      <c r="AV26">
        <v>2.2639999999999998</v>
      </c>
      <c r="AY26">
        <v>0.2</v>
      </c>
      <c r="AZ26">
        <v>3.2650000000000001</v>
      </c>
    </row>
    <row r="27" spans="2:55" x14ac:dyDescent="0.25">
      <c r="B27">
        <v>0.66</v>
      </c>
      <c r="C27">
        <v>1.5649999999999999</v>
      </c>
      <c r="F27">
        <v>0.16</v>
      </c>
      <c r="G27">
        <v>1.9790000000000001</v>
      </c>
      <c r="K27">
        <v>0.59</v>
      </c>
      <c r="L27">
        <v>7.0250000000000004</v>
      </c>
      <c r="T27">
        <v>0.51</v>
      </c>
      <c r="U27">
        <v>3.444</v>
      </c>
      <c r="X27">
        <v>0.19</v>
      </c>
      <c r="Y27">
        <v>1.7849999999999999</v>
      </c>
      <c r="AC27">
        <v>0.46</v>
      </c>
      <c r="AD27">
        <v>2.0720000000000001</v>
      </c>
      <c r="AG27">
        <v>0.19</v>
      </c>
      <c r="AH27">
        <v>3.0950000000000002</v>
      </c>
      <c r="AL27">
        <v>0.41</v>
      </c>
      <c r="AM27">
        <v>2.0979999999999999</v>
      </c>
      <c r="AP27">
        <v>0.18</v>
      </c>
      <c r="AQ27">
        <v>3.0409999999999999</v>
      </c>
      <c r="AU27">
        <v>0.38</v>
      </c>
      <c r="AV27">
        <v>2.3039999999999998</v>
      </c>
      <c r="AY27">
        <v>0.19</v>
      </c>
      <c r="AZ27">
        <v>3.3420000000000001</v>
      </c>
    </row>
    <row r="28" spans="2:55" x14ac:dyDescent="0.25">
      <c r="B28">
        <v>0.67</v>
      </c>
      <c r="C28">
        <v>1.5880000000000001</v>
      </c>
      <c r="F28">
        <v>0.15</v>
      </c>
      <c r="G28">
        <v>2.0750000000000002</v>
      </c>
      <c r="K28">
        <v>0.6</v>
      </c>
      <c r="L28">
        <v>7.05</v>
      </c>
      <c r="T28">
        <v>0.52</v>
      </c>
      <c r="U28">
        <v>3.4729999999999999</v>
      </c>
      <c r="X28">
        <v>0.18</v>
      </c>
      <c r="Y28">
        <v>1.8660000000000001</v>
      </c>
      <c r="AC28">
        <v>0.47</v>
      </c>
      <c r="AD28">
        <v>2.1040000000000001</v>
      </c>
      <c r="AG28">
        <v>0.19</v>
      </c>
      <c r="AH28">
        <v>3.1739999999999999</v>
      </c>
      <c r="AL28">
        <v>0.42</v>
      </c>
      <c r="AM28">
        <v>2.1339999999999999</v>
      </c>
      <c r="AP28">
        <v>0.18</v>
      </c>
      <c r="AQ28">
        <v>3.1240000000000001</v>
      </c>
      <c r="AU28">
        <v>0.39</v>
      </c>
      <c r="AV28">
        <v>2.343</v>
      </c>
      <c r="AY28">
        <v>0.19</v>
      </c>
      <c r="AZ28">
        <v>3.42</v>
      </c>
    </row>
    <row r="29" spans="2:55" x14ac:dyDescent="0.25">
      <c r="B29">
        <v>0.68</v>
      </c>
      <c r="C29">
        <v>1.61</v>
      </c>
      <c r="K29">
        <v>0.61</v>
      </c>
      <c r="L29">
        <v>7.0750000000000002</v>
      </c>
      <c r="T29">
        <v>0.53</v>
      </c>
      <c r="U29">
        <v>3.5009999999999999</v>
      </c>
      <c r="X29">
        <v>0.18</v>
      </c>
      <c r="Y29">
        <v>1.9490000000000001</v>
      </c>
      <c r="AC29">
        <v>0.47</v>
      </c>
      <c r="AD29">
        <v>2.1360000000000001</v>
      </c>
      <c r="AG29">
        <v>0.18</v>
      </c>
      <c r="AH29">
        <v>3.254</v>
      </c>
      <c r="AL29">
        <v>0.42</v>
      </c>
      <c r="AM29">
        <v>2.17</v>
      </c>
      <c r="AP29">
        <v>0.18</v>
      </c>
      <c r="AQ29">
        <v>3.2080000000000002</v>
      </c>
      <c r="AU29">
        <v>0.4</v>
      </c>
      <c r="AV29">
        <v>2.3809999999999998</v>
      </c>
      <c r="AY29">
        <v>0.19</v>
      </c>
      <c r="AZ29">
        <v>3.4990000000000001</v>
      </c>
    </row>
    <row r="30" spans="2:55" x14ac:dyDescent="0.25">
      <c r="B30">
        <v>0.69</v>
      </c>
      <c r="C30">
        <v>1.6319999999999999</v>
      </c>
      <c r="K30">
        <v>0.62</v>
      </c>
      <c r="L30">
        <v>7.1</v>
      </c>
      <c r="T30">
        <v>0.54</v>
      </c>
      <c r="U30">
        <v>3.5289999999999999</v>
      </c>
      <c r="X30">
        <v>0.17</v>
      </c>
      <c r="Y30">
        <v>2.0339999999999998</v>
      </c>
      <c r="AC30">
        <v>0.48</v>
      </c>
      <c r="AD30">
        <v>2.1680000000000001</v>
      </c>
      <c r="AG30">
        <v>0.18</v>
      </c>
      <c r="AH30">
        <v>3.3370000000000002</v>
      </c>
      <c r="AL30">
        <v>0.43</v>
      </c>
      <c r="AM30">
        <v>2.2050000000000001</v>
      </c>
      <c r="AP30">
        <v>0.17</v>
      </c>
      <c r="AQ30">
        <v>3.294</v>
      </c>
      <c r="AU30">
        <v>0.41</v>
      </c>
      <c r="AV30">
        <v>2.4180000000000001</v>
      </c>
      <c r="AY30">
        <v>0.18</v>
      </c>
      <c r="AZ30">
        <v>3.58</v>
      </c>
    </row>
    <row r="31" spans="2:55" x14ac:dyDescent="0.25">
      <c r="B31">
        <v>0.71</v>
      </c>
      <c r="C31">
        <v>1.653</v>
      </c>
      <c r="K31">
        <v>0.62</v>
      </c>
      <c r="L31">
        <v>7.1239999999999997</v>
      </c>
      <c r="T31">
        <v>0.55000000000000004</v>
      </c>
      <c r="U31">
        <v>3.5569999999999999</v>
      </c>
      <c r="X31">
        <v>0.17</v>
      </c>
      <c r="Y31">
        <v>2.121</v>
      </c>
      <c r="AC31">
        <v>0.49</v>
      </c>
      <c r="AD31">
        <v>2.198</v>
      </c>
      <c r="AG31">
        <v>0.18</v>
      </c>
      <c r="AH31">
        <v>3.4209999999999998</v>
      </c>
      <c r="AL31">
        <v>0.44</v>
      </c>
      <c r="AM31">
        <v>2.2389999999999999</v>
      </c>
      <c r="AP31">
        <v>0.17</v>
      </c>
      <c r="AQ31">
        <v>3.383</v>
      </c>
      <c r="AU31">
        <v>0.41</v>
      </c>
      <c r="AV31">
        <v>2.4550000000000001</v>
      </c>
      <c r="AY31">
        <v>0.18</v>
      </c>
      <c r="AZ31">
        <v>3.6629999999999998</v>
      </c>
    </row>
    <row r="32" spans="2:55" x14ac:dyDescent="0.25">
      <c r="B32">
        <v>0.72</v>
      </c>
      <c r="C32">
        <v>1.6739999999999999</v>
      </c>
      <c r="K32">
        <v>0.63</v>
      </c>
      <c r="L32">
        <v>7.1479999999999997</v>
      </c>
      <c r="T32">
        <v>0.56000000000000005</v>
      </c>
      <c r="U32">
        <v>3.5840000000000001</v>
      </c>
      <c r="X32">
        <v>0.17</v>
      </c>
      <c r="Y32">
        <v>2.21</v>
      </c>
      <c r="AC32">
        <v>0.5</v>
      </c>
      <c r="AD32">
        <v>2.2290000000000001</v>
      </c>
      <c r="AG32">
        <v>0.17</v>
      </c>
      <c r="AH32">
        <v>3.5070000000000001</v>
      </c>
      <c r="AL32">
        <v>0.45</v>
      </c>
      <c r="AM32">
        <v>2.2730000000000001</v>
      </c>
      <c r="AP32">
        <v>0.16</v>
      </c>
      <c r="AQ32">
        <v>3.4750000000000001</v>
      </c>
      <c r="AU32">
        <v>0.42</v>
      </c>
      <c r="AV32">
        <v>2.4910000000000001</v>
      </c>
      <c r="AY32">
        <v>0.17</v>
      </c>
      <c r="AZ32">
        <v>3.7490000000000001</v>
      </c>
    </row>
    <row r="33" spans="2:52" x14ac:dyDescent="0.25">
      <c r="B33">
        <v>0.73</v>
      </c>
      <c r="C33">
        <v>1.6950000000000001</v>
      </c>
      <c r="K33">
        <v>0.65</v>
      </c>
      <c r="L33">
        <v>7.1710000000000003</v>
      </c>
      <c r="T33">
        <v>0.56999999999999995</v>
      </c>
      <c r="U33">
        <v>3.6110000000000002</v>
      </c>
      <c r="X33">
        <v>0.16</v>
      </c>
      <c r="Y33">
        <v>2.3029999999999999</v>
      </c>
      <c r="AC33">
        <v>0.5</v>
      </c>
      <c r="AD33">
        <v>2.2589999999999999</v>
      </c>
      <c r="AG33">
        <v>0.17</v>
      </c>
      <c r="AH33">
        <v>3.5960000000000001</v>
      </c>
      <c r="AL33">
        <v>0.45</v>
      </c>
      <c r="AM33">
        <v>2.3069999999999999</v>
      </c>
      <c r="AP33">
        <v>0.15</v>
      </c>
      <c r="AQ33">
        <v>3.5710000000000002</v>
      </c>
      <c r="AU33">
        <v>0.43</v>
      </c>
      <c r="AV33">
        <v>2.5259999999999998</v>
      </c>
      <c r="AY33">
        <v>0.17</v>
      </c>
      <c r="AZ33">
        <v>3.8370000000000002</v>
      </c>
    </row>
    <row r="34" spans="2:52" x14ac:dyDescent="0.25">
      <c r="B34">
        <v>0.75</v>
      </c>
      <c r="C34">
        <v>1.7150000000000001</v>
      </c>
      <c r="K34">
        <v>0.65</v>
      </c>
      <c r="L34">
        <v>7.194</v>
      </c>
      <c r="T34">
        <v>0.56999999999999995</v>
      </c>
      <c r="U34">
        <v>3.637</v>
      </c>
      <c r="X34">
        <v>0.15</v>
      </c>
      <c r="Y34">
        <v>2.399</v>
      </c>
      <c r="AC34">
        <v>0.51</v>
      </c>
      <c r="AD34">
        <v>2.2879999999999998</v>
      </c>
      <c r="AG34">
        <v>0.16</v>
      </c>
      <c r="AH34">
        <v>3.6880000000000002</v>
      </c>
      <c r="AL34">
        <v>0.46</v>
      </c>
      <c r="AM34">
        <v>2.339</v>
      </c>
      <c r="AP34">
        <v>0.15</v>
      </c>
      <c r="AQ34">
        <v>3.67</v>
      </c>
      <c r="AU34">
        <v>0.43</v>
      </c>
      <c r="AV34">
        <v>2.5609999999999999</v>
      </c>
      <c r="AY34">
        <v>0.17</v>
      </c>
      <c r="AZ34">
        <v>3.9260000000000002</v>
      </c>
    </row>
    <row r="35" spans="2:52" x14ac:dyDescent="0.25">
      <c r="B35">
        <v>0.75</v>
      </c>
      <c r="C35">
        <v>1.7350000000000001</v>
      </c>
      <c r="K35">
        <v>0.67</v>
      </c>
      <c r="L35">
        <v>7.2169999999999996</v>
      </c>
      <c r="T35">
        <v>0.57999999999999996</v>
      </c>
      <c r="U35">
        <v>3.6629999999999998</v>
      </c>
      <c r="X35">
        <v>0.15</v>
      </c>
      <c r="Y35">
        <v>2.4990000000000001</v>
      </c>
      <c r="AC35">
        <v>0.52</v>
      </c>
      <c r="AD35">
        <v>2.3170000000000002</v>
      </c>
      <c r="AG35">
        <v>0.16</v>
      </c>
      <c r="AH35">
        <v>3.7829999999999999</v>
      </c>
      <c r="AL35">
        <v>0.47</v>
      </c>
      <c r="AM35">
        <v>2.3719999999999999</v>
      </c>
      <c r="AP35">
        <v>0.14000000000000001</v>
      </c>
      <c r="AQ35">
        <v>3.7730000000000001</v>
      </c>
      <c r="AU35">
        <v>0.44</v>
      </c>
      <c r="AV35">
        <v>2.5950000000000002</v>
      </c>
      <c r="AY35">
        <v>0.16</v>
      </c>
      <c r="AZ35">
        <v>4.0170000000000003</v>
      </c>
    </row>
    <row r="36" spans="2:52" x14ac:dyDescent="0.25">
      <c r="B36">
        <v>0.77</v>
      </c>
      <c r="C36">
        <v>1.7549999999999999</v>
      </c>
      <c r="K36">
        <v>0.67</v>
      </c>
      <c r="L36">
        <v>7.2389999999999999</v>
      </c>
      <c r="T36">
        <v>0.59</v>
      </c>
      <c r="U36">
        <v>3.6890000000000001</v>
      </c>
      <c r="X36">
        <v>0.14000000000000001</v>
      </c>
      <c r="Y36">
        <v>2.6030000000000002</v>
      </c>
      <c r="AC36">
        <v>0.53</v>
      </c>
      <c r="AD36">
        <v>2.3460000000000001</v>
      </c>
      <c r="AG36">
        <v>0.15</v>
      </c>
      <c r="AH36">
        <v>3.8820000000000001</v>
      </c>
      <c r="AL36">
        <v>0.48</v>
      </c>
      <c r="AM36">
        <v>2.403</v>
      </c>
      <c r="AP36">
        <v>0.14000000000000001</v>
      </c>
      <c r="AQ36">
        <v>3.879</v>
      </c>
      <c r="AU36">
        <v>0.45</v>
      </c>
      <c r="AV36">
        <v>2.629</v>
      </c>
      <c r="AY36">
        <v>0.16</v>
      </c>
      <c r="AZ36">
        <v>4.1100000000000003</v>
      </c>
    </row>
    <row r="37" spans="2:52" x14ac:dyDescent="0.25">
      <c r="B37">
        <v>0.78</v>
      </c>
      <c r="C37">
        <v>1.774</v>
      </c>
      <c r="K37">
        <v>0.68</v>
      </c>
      <c r="L37">
        <v>7.2610000000000001</v>
      </c>
      <c r="T37">
        <v>0.6</v>
      </c>
      <c r="U37">
        <v>3.714</v>
      </c>
      <c r="X37">
        <v>0.14000000000000001</v>
      </c>
      <c r="Y37">
        <v>2.7109999999999999</v>
      </c>
      <c r="AC37">
        <v>0.54</v>
      </c>
      <c r="AD37">
        <v>2.3740000000000001</v>
      </c>
      <c r="AG37">
        <v>0.15</v>
      </c>
      <c r="AH37">
        <v>3.9830000000000001</v>
      </c>
      <c r="AL37">
        <v>0.48</v>
      </c>
      <c r="AM37">
        <v>2.4350000000000001</v>
      </c>
      <c r="AP37">
        <v>0.13</v>
      </c>
      <c r="AQ37">
        <v>3.99</v>
      </c>
      <c r="AU37">
        <v>0.45</v>
      </c>
      <c r="AV37">
        <v>2.6629999999999998</v>
      </c>
      <c r="AY37">
        <v>0.16</v>
      </c>
      <c r="AZ37">
        <v>4.2050000000000001</v>
      </c>
    </row>
    <row r="38" spans="2:52" x14ac:dyDescent="0.25">
      <c r="B38">
        <v>0.79</v>
      </c>
      <c r="C38">
        <v>1.7929999999999999</v>
      </c>
      <c r="K38">
        <v>0.69</v>
      </c>
      <c r="L38">
        <v>7.2830000000000004</v>
      </c>
      <c r="T38">
        <v>0.61</v>
      </c>
      <c r="U38">
        <v>3.7389999999999999</v>
      </c>
      <c r="X38">
        <v>0.13</v>
      </c>
      <c r="Y38">
        <v>2.8220000000000001</v>
      </c>
      <c r="AC38">
        <v>0.54</v>
      </c>
      <c r="AD38">
        <v>2.4020000000000001</v>
      </c>
      <c r="AG38">
        <v>0.14000000000000001</v>
      </c>
      <c r="AH38">
        <v>4.0880000000000001</v>
      </c>
      <c r="AL38">
        <v>0.49</v>
      </c>
      <c r="AM38">
        <v>2.4660000000000002</v>
      </c>
      <c r="AP38">
        <v>0.13</v>
      </c>
      <c r="AQ38">
        <v>4.1040000000000001</v>
      </c>
      <c r="AU38">
        <v>0.46</v>
      </c>
      <c r="AV38">
        <v>2.6949999999999998</v>
      </c>
      <c r="AY38">
        <v>0.15</v>
      </c>
      <c r="AZ38">
        <v>4.3010000000000002</v>
      </c>
    </row>
    <row r="39" spans="2:52" x14ac:dyDescent="0.25">
      <c r="B39">
        <v>0.8</v>
      </c>
      <c r="C39">
        <v>1.8120000000000001</v>
      </c>
      <c r="K39">
        <v>0.7</v>
      </c>
      <c r="L39">
        <v>7.3049999999999997</v>
      </c>
      <c r="T39">
        <v>0.61</v>
      </c>
      <c r="U39">
        <v>3.7639999999999998</v>
      </c>
      <c r="X39">
        <v>0.13</v>
      </c>
      <c r="Y39">
        <v>2.9380000000000002</v>
      </c>
      <c r="AC39">
        <v>0.55000000000000004</v>
      </c>
      <c r="AD39">
        <v>2.4289999999999998</v>
      </c>
      <c r="AG39">
        <v>0.14000000000000001</v>
      </c>
      <c r="AH39">
        <v>4.1959999999999997</v>
      </c>
      <c r="AL39">
        <v>0.49</v>
      </c>
      <c r="AM39">
        <v>2.496</v>
      </c>
      <c r="AU39">
        <v>0.47</v>
      </c>
      <c r="AV39">
        <v>2.7280000000000002</v>
      </c>
      <c r="AY39">
        <v>0.15</v>
      </c>
      <c r="AZ39">
        <v>4.399</v>
      </c>
    </row>
    <row r="40" spans="2:52" x14ac:dyDescent="0.25">
      <c r="B40">
        <v>0.81</v>
      </c>
      <c r="C40">
        <v>1.831</v>
      </c>
      <c r="K40">
        <v>0.71</v>
      </c>
      <c r="L40">
        <v>7.3259999999999996</v>
      </c>
      <c r="T40">
        <v>0.62</v>
      </c>
      <c r="U40">
        <v>3.7879999999999998</v>
      </c>
      <c r="X40">
        <v>0.12</v>
      </c>
      <c r="Y40">
        <v>3.0569999999999999</v>
      </c>
      <c r="AC40">
        <v>0.56000000000000005</v>
      </c>
      <c r="AD40">
        <v>2.456</v>
      </c>
      <c r="AG40">
        <v>0.13</v>
      </c>
      <c r="AH40">
        <v>4.3079999999999998</v>
      </c>
      <c r="AL40">
        <v>0.5</v>
      </c>
      <c r="AM40">
        <v>2.5259999999999998</v>
      </c>
      <c r="AU40">
        <v>0.47</v>
      </c>
      <c r="AV40">
        <v>2.76</v>
      </c>
      <c r="AY40">
        <v>0.15</v>
      </c>
      <c r="AZ40">
        <v>4.5</v>
      </c>
    </row>
    <row r="41" spans="2:52" x14ac:dyDescent="0.25">
      <c r="B41">
        <v>0.82</v>
      </c>
      <c r="C41">
        <v>1.849</v>
      </c>
      <c r="K41">
        <v>0.71</v>
      </c>
      <c r="L41">
        <v>7.3470000000000004</v>
      </c>
      <c r="T41">
        <v>0.63</v>
      </c>
      <c r="U41">
        <v>3.8119999999999998</v>
      </c>
      <c r="AC41">
        <v>0.56999999999999995</v>
      </c>
      <c r="AD41">
        <v>2.4830000000000001</v>
      </c>
      <c r="AG41">
        <v>0.13</v>
      </c>
      <c r="AH41">
        <v>4.4240000000000004</v>
      </c>
      <c r="AL41">
        <v>0.51</v>
      </c>
      <c r="AM41">
        <v>2.556</v>
      </c>
      <c r="AU41">
        <v>0.48</v>
      </c>
      <c r="AV41">
        <v>2.7919999999999998</v>
      </c>
      <c r="AY41">
        <v>0.14000000000000001</v>
      </c>
      <c r="AZ41">
        <v>4.6050000000000004</v>
      </c>
    </row>
    <row r="42" spans="2:52" x14ac:dyDescent="0.25">
      <c r="B42">
        <v>0.83</v>
      </c>
      <c r="C42">
        <v>1.867</v>
      </c>
      <c r="K42">
        <v>0.72</v>
      </c>
      <c r="L42">
        <v>7.3680000000000003</v>
      </c>
      <c r="T42">
        <v>0.64</v>
      </c>
      <c r="U42">
        <v>3.8359999999999999</v>
      </c>
      <c r="AC42">
        <v>0.56999999999999995</v>
      </c>
      <c r="AD42">
        <v>2.5089999999999999</v>
      </c>
      <c r="AG42">
        <v>0.12</v>
      </c>
      <c r="AH42">
        <v>4.5449999999999999</v>
      </c>
      <c r="AL42">
        <v>0.52</v>
      </c>
      <c r="AM42">
        <v>2.585</v>
      </c>
      <c r="AU42">
        <v>0.48</v>
      </c>
      <c r="AV42">
        <v>2.823</v>
      </c>
      <c r="AY42">
        <v>0.14000000000000001</v>
      </c>
      <c r="AZ42">
        <v>4.7140000000000004</v>
      </c>
    </row>
    <row r="43" spans="2:52" x14ac:dyDescent="0.25">
      <c r="B43">
        <v>0.85</v>
      </c>
      <c r="C43">
        <v>1.885</v>
      </c>
      <c r="K43">
        <v>0.73</v>
      </c>
      <c r="L43">
        <v>7.3890000000000002</v>
      </c>
      <c r="T43">
        <v>0.65</v>
      </c>
      <c r="U43">
        <v>3.859</v>
      </c>
      <c r="AC43">
        <v>0.57999999999999996</v>
      </c>
      <c r="AD43">
        <v>2.5350000000000001</v>
      </c>
      <c r="AG43">
        <v>0.11</v>
      </c>
      <c r="AH43">
        <v>4.673</v>
      </c>
      <c r="AL43">
        <v>0.52</v>
      </c>
      <c r="AM43">
        <v>2.6139999999999999</v>
      </c>
      <c r="AU43">
        <v>0.49</v>
      </c>
      <c r="AV43">
        <v>2.8530000000000002</v>
      </c>
      <c r="AY43">
        <v>0.13</v>
      </c>
      <c r="AZ43">
        <v>4.827</v>
      </c>
    </row>
    <row r="44" spans="2:52" x14ac:dyDescent="0.25">
      <c r="B44">
        <v>0.86</v>
      </c>
      <c r="C44">
        <v>1.903</v>
      </c>
      <c r="K44">
        <v>0.74</v>
      </c>
      <c r="L44">
        <v>7.4089999999999998</v>
      </c>
      <c r="T44">
        <v>0.65</v>
      </c>
      <c r="U44">
        <v>3.8820000000000001</v>
      </c>
      <c r="AC44">
        <v>0.59</v>
      </c>
      <c r="AD44">
        <v>2.5609999999999999</v>
      </c>
      <c r="AG44">
        <v>0.11</v>
      </c>
      <c r="AH44">
        <v>4.8090000000000002</v>
      </c>
      <c r="AL44">
        <v>0.53</v>
      </c>
      <c r="AM44">
        <v>2.6429999999999998</v>
      </c>
      <c r="AU44">
        <v>0.5</v>
      </c>
      <c r="AV44">
        <v>2.8839999999999999</v>
      </c>
      <c r="AY44">
        <v>0.13</v>
      </c>
      <c r="AZ44">
        <v>4.9429999999999996</v>
      </c>
    </row>
    <row r="45" spans="2:52" x14ac:dyDescent="0.25">
      <c r="B45">
        <v>0.87</v>
      </c>
      <c r="C45">
        <v>1.92</v>
      </c>
      <c r="K45">
        <v>0.75</v>
      </c>
      <c r="L45">
        <v>7.43</v>
      </c>
      <c r="T45">
        <v>0.66</v>
      </c>
      <c r="U45">
        <v>3.9049999999999998</v>
      </c>
      <c r="AC45">
        <v>0.59</v>
      </c>
      <c r="AD45">
        <v>2.5870000000000002</v>
      </c>
      <c r="AG45">
        <v>0.1</v>
      </c>
      <c r="AH45">
        <v>4.9539999999999997</v>
      </c>
      <c r="AL45">
        <v>0.54</v>
      </c>
      <c r="AM45">
        <v>2.6709999999999998</v>
      </c>
      <c r="AU45">
        <v>0.5</v>
      </c>
      <c r="AV45">
        <v>2.9140000000000001</v>
      </c>
      <c r="AY45">
        <v>0.12</v>
      </c>
      <c r="AZ45">
        <v>5.0629999999999997</v>
      </c>
    </row>
    <row r="46" spans="2:52" x14ac:dyDescent="0.25">
      <c r="B46">
        <v>0.88</v>
      </c>
      <c r="C46">
        <v>1.9370000000000001</v>
      </c>
      <c r="K46">
        <v>0.75</v>
      </c>
      <c r="L46">
        <v>7.45</v>
      </c>
      <c r="T46">
        <v>0.67</v>
      </c>
      <c r="U46">
        <v>3.9279999999999999</v>
      </c>
      <c r="AC46">
        <v>0.6</v>
      </c>
      <c r="AD46">
        <v>2.6120000000000001</v>
      </c>
      <c r="AG46">
        <v>0.09</v>
      </c>
      <c r="AH46">
        <v>5.1079999999999997</v>
      </c>
      <c r="AL46">
        <v>0.54</v>
      </c>
      <c r="AM46">
        <v>2.6989999999999998</v>
      </c>
      <c r="AU46">
        <v>0.51</v>
      </c>
      <c r="AV46">
        <v>2.944</v>
      </c>
      <c r="AY46">
        <v>0.12</v>
      </c>
      <c r="AZ46">
        <v>5.1849999999999996</v>
      </c>
    </row>
    <row r="47" spans="2:52" x14ac:dyDescent="0.25">
      <c r="B47">
        <v>0.89</v>
      </c>
      <c r="C47">
        <v>1.954</v>
      </c>
      <c r="K47">
        <v>0.76</v>
      </c>
      <c r="L47">
        <v>7.4690000000000003</v>
      </c>
      <c r="T47">
        <v>0.67</v>
      </c>
      <c r="U47">
        <v>3.95</v>
      </c>
      <c r="AC47">
        <v>0.61</v>
      </c>
      <c r="AD47">
        <v>2.637</v>
      </c>
      <c r="AG47">
        <v>0.09</v>
      </c>
      <c r="AH47">
        <v>5.2709999999999999</v>
      </c>
      <c r="AL47">
        <v>0.55000000000000004</v>
      </c>
      <c r="AM47">
        <v>2.726</v>
      </c>
      <c r="AU47">
        <v>0.51</v>
      </c>
      <c r="AV47">
        <v>2.9729999999999999</v>
      </c>
      <c r="AY47">
        <v>0.12</v>
      </c>
      <c r="AZ47">
        <v>5.3109999999999999</v>
      </c>
    </row>
    <row r="48" spans="2:52" x14ac:dyDescent="0.25">
      <c r="B48">
        <v>0.9</v>
      </c>
      <c r="C48">
        <v>1.9710000000000001</v>
      </c>
      <c r="K48">
        <v>0.77</v>
      </c>
      <c r="L48">
        <v>7.4889999999999999</v>
      </c>
      <c r="T48">
        <v>0.68</v>
      </c>
      <c r="U48">
        <v>3.972</v>
      </c>
      <c r="AC48">
        <v>0.61</v>
      </c>
      <c r="AD48">
        <v>2.661</v>
      </c>
      <c r="AL48">
        <v>0.55000000000000004</v>
      </c>
      <c r="AM48">
        <v>2.754</v>
      </c>
      <c r="AU48">
        <v>0.52</v>
      </c>
      <c r="AV48">
        <v>3.0019999999999998</v>
      </c>
      <c r="AY48">
        <v>0.11</v>
      </c>
      <c r="AZ48">
        <v>5.4409999999999998</v>
      </c>
    </row>
    <row r="49" spans="2:52" x14ac:dyDescent="0.25">
      <c r="B49">
        <v>0.91</v>
      </c>
      <c r="C49">
        <v>1.988</v>
      </c>
      <c r="K49">
        <v>0.78</v>
      </c>
      <c r="L49">
        <v>7.508</v>
      </c>
      <c r="T49">
        <v>0.69</v>
      </c>
      <c r="U49">
        <v>3.9940000000000002</v>
      </c>
      <c r="AC49">
        <v>0.62</v>
      </c>
      <c r="AD49">
        <v>2.6859999999999999</v>
      </c>
      <c r="AL49">
        <v>0.56000000000000005</v>
      </c>
      <c r="AM49">
        <v>2.7810000000000001</v>
      </c>
      <c r="AU49">
        <v>0.53</v>
      </c>
      <c r="AV49">
        <v>3.0310000000000001</v>
      </c>
      <c r="AY49">
        <v>0.11</v>
      </c>
      <c r="AZ49">
        <v>5.5750000000000002</v>
      </c>
    </row>
    <row r="50" spans="2:52" x14ac:dyDescent="0.25">
      <c r="B50">
        <v>0.92</v>
      </c>
      <c r="C50">
        <v>2.004</v>
      </c>
      <c r="K50">
        <v>0.78</v>
      </c>
      <c r="L50">
        <v>7.5279999999999996</v>
      </c>
      <c r="T50">
        <v>0.7</v>
      </c>
      <c r="U50">
        <v>4.016</v>
      </c>
      <c r="AC50">
        <v>0.63</v>
      </c>
      <c r="AD50">
        <v>2.71</v>
      </c>
      <c r="AL50">
        <v>0.56000000000000005</v>
      </c>
      <c r="AM50">
        <v>2.8069999999999999</v>
      </c>
      <c r="AU50">
        <v>0.53</v>
      </c>
      <c r="AV50">
        <v>3.0590000000000002</v>
      </c>
      <c r="AY50">
        <v>0.1</v>
      </c>
      <c r="AZ50">
        <v>5.7160000000000002</v>
      </c>
    </row>
    <row r="51" spans="2:52" x14ac:dyDescent="0.25">
      <c r="B51">
        <v>0.93</v>
      </c>
      <c r="C51">
        <v>2.02</v>
      </c>
      <c r="K51">
        <v>0.79</v>
      </c>
      <c r="L51">
        <v>7.5469999999999997</v>
      </c>
      <c r="T51">
        <v>0.7</v>
      </c>
      <c r="U51">
        <v>4.0369999999999999</v>
      </c>
      <c r="AC51">
        <v>0.63</v>
      </c>
      <c r="AD51">
        <v>2.7330000000000001</v>
      </c>
      <c r="AL51">
        <v>0.56999999999999995</v>
      </c>
      <c r="AM51">
        <v>2.8340000000000001</v>
      </c>
      <c r="AU51">
        <v>0.54</v>
      </c>
      <c r="AV51">
        <v>3.0880000000000001</v>
      </c>
      <c r="AY51">
        <v>0.1</v>
      </c>
      <c r="AZ51">
        <v>5.867</v>
      </c>
    </row>
    <row r="52" spans="2:52" x14ac:dyDescent="0.25">
      <c r="B52">
        <v>0.94</v>
      </c>
      <c r="C52">
        <v>2.0369999999999999</v>
      </c>
      <c r="K52">
        <v>0.79</v>
      </c>
      <c r="L52">
        <v>7.5659999999999998</v>
      </c>
      <c r="T52">
        <v>0.71</v>
      </c>
      <c r="U52">
        <v>4.0579999999999998</v>
      </c>
      <c r="AC52">
        <v>0.64</v>
      </c>
      <c r="AD52">
        <v>2.7570000000000001</v>
      </c>
      <c r="AL52">
        <v>0.57999999999999996</v>
      </c>
      <c r="AM52">
        <v>2.86</v>
      </c>
      <c r="AU52">
        <v>0.54</v>
      </c>
      <c r="AV52">
        <v>3.1150000000000002</v>
      </c>
    </row>
    <row r="53" spans="2:52" x14ac:dyDescent="0.25">
      <c r="B53">
        <v>0.95</v>
      </c>
      <c r="C53">
        <v>2.0529999999999999</v>
      </c>
      <c r="K53">
        <v>0.8</v>
      </c>
      <c r="L53">
        <v>7.585</v>
      </c>
      <c r="T53">
        <v>0.72</v>
      </c>
      <c r="U53">
        <v>4.0789999999999997</v>
      </c>
      <c r="AC53">
        <v>0.64</v>
      </c>
      <c r="AD53">
        <v>2.7810000000000001</v>
      </c>
      <c r="AL53">
        <v>0.57999999999999996</v>
      </c>
      <c r="AM53">
        <v>2.8860000000000001</v>
      </c>
      <c r="AU53">
        <v>0.55000000000000004</v>
      </c>
      <c r="AV53">
        <v>3.1429999999999998</v>
      </c>
    </row>
    <row r="54" spans="2:52" x14ac:dyDescent="0.25">
      <c r="B54">
        <v>0.96</v>
      </c>
      <c r="C54">
        <v>2.0680000000000001</v>
      </c>
      <c r="T54">
        <v>0.73</v>
      </c>
      <c r="U54">
        <v>4.0999999999999996</v>
      </c>
      <c r="AC54">
        <v>0.65</v>
      </c>
      <c r="AD54">
        <v>2.8039999999999998</v>
      </c>
      <c r="AL54">
        <v>0.59</v>
      </c>
      <c r="AM54">
        <v>2.911</v>
      </c>
      <c r="AU54">
        <v>0.55000000000000004</v>
      </c>
      <c r="AV54">
        <v>3.17</v>
      </c>
    </row>
    <row r="55" spans="2:52" x14ac:dyDescent="0.25">
      <c r="B55">
        <v>0.96</v>
      </c>
      <c r="C55">
        <v>2.0840000000000001</v>
      </c>
      <c r="T55">
        <v>0.73</v>
      </c>
      <c r="U55">
        <v>4.1210000000000004</v>
      </c>
      <c r="AC55">
        <v>0.66</v>
      </c>
      <c r="AD55">
        <v>2.827</v>
      </c>
      <c r="AL55">
        <v>0.6</v>
      </c>
      <c r="AM55">
        <v>2.9369999999999998</v>
      </c>
      <c r="AU55">
        <v>0.56000000000000005</v>
      </c>
      <c r="AV55">
        <v>3.1970000000000001</v>
      </c>
    </row>
    <row r="56" spans="2:52" x14ac:dyDescent="0.25">
      <c r="B56">
        <v>0.98</v>
      </c>
      <c r="C56">
        <v>2.0990000000000002</v>
      </c>
      <c r="T56">
        <v>0.74</v>
      </c>
      <c r="U56">
        <v>4.141</v>
      </c>
      <c r="AC56">
        <v>0.66</v>
      </c>
      <c r="AD56">
        <v>2.8490000000000002</v>
      </c>
      <c r="AU56">
        <v>0.56000000000000005</v>
      </c>
      <c r="AV56">
        <v>3.2240000000000002</v>
      </c>
    </row>
    <row r="57" spans="2:52" x14ac:dyDescent="0.25">
      <c r="B57">
        <v>0.99</v>
      </c>
      <c r="C57">
        <v>2.1150000000000002</v>
      </c>
      <c r="T57">
        <v>0.74</v>
      </c>
      <c r="U57">
        <v>4.1609999999999996</v>
      </c>
      <c r="AC57">
        <v>0.67</v>
      </c>
      <c r="AD57">
        <v>2.8719999999999999</v>
      </c>
      <c r="AU57">
        <v>0.56999999999999995</v>
      </c>
      <c r="AV57">
        <v>3.25</v>
      </c>
    </row>
    <row r="58" spans="2:52" x14ac:dyDescent="0.25">
      <c r="B58">
        <v>1</v>
      </c>
      <c r="C58">
        <v>2.13</v>
      </c>
      <c r="T58">
        <v>0.75</v>
      </c>
      <c r="U58">
        <v>4.181</v>
      </c>
      <c r="AC58">
        <v>0.67</v>
      </c>
      <c r="AD58">
        <v>2.8940000000000001</v>
      </c>
      <c r="AU58">
        <v>0.57999999999999996</v>
      </c>
      <c r="AV58">
        <v>3.2759999999999998</v>
      </c>
    </row>
    <row r="59" spans="2:52" x14ac:dyDescent="0.25">
      <c r="T59">
        <v>0.76</v>
      </c>
      <c r="U59">
        <v>4.2009999999999996</v>
      </c>
      <c r="AC59">
        <v>0.68</v>
      </c>
      <c r="AD59">
        <v>2.9159999999999999</v>
      </c>
      <c r="AU59">
        <v>0.57999999999999996</v>
      </c>
      <c r="AV59">
        <v>3.302</v>
      </c>
    </row>
    <row r="60" spans="2:52" x14ac:dyDescent="0.25">
      <c r="T60">
        <v>0.77</v>
      </c>
      <c r="U60">
        <v>4.2210000000000001</v>
      </c>
      <c r="AC60">
        <v>0.69</v>
      </c>
      <c r="AD60">
        <v>2.9380000000000002</v>
      </c>
      <c r="AU60">
        <v>0.59</v>
      </c>
      <c r="AV60">
        <v>3.3279999999999998</v>
      </c>
    </row>
    <row r="61" spans="2:52" x14ac:dyDescent="0.25">
      <c r="T61">
        <v>0.77</v>
      </c>
      <c r="U61">
        <v>4.24</v>
      </c>
      <c r="AC61">
        <v>0.69</v>
      </c>
      <c r="AD61">
        <v>2.96</v>
      </c>
      <c r="AU61">
        <v>0.59</v>
      </c>
      <c r="AV61">
        <v>3.3530000000000002</v>
      </c>
    </row>
    <row r="62" spans="2:52" x14ac:dyDescent="0.25">
      <c r="T62">
        <v>0.78</v>
      </c>
      <c r="U62">
        <v>4.26</v>
      </c>
      <c r="AC62">
        <v>0.7</v>
      </c>
      <c r="AD62">
        <v>2.9820000000000002</v>
      </c>
      <c r="AU62">
        <v>0.6</v>
      </c>
      <c r="AV62">
        <v>3.379</v>
      </c>
    </row>
    <row r="63" spans="2:52" x14ac:dyDescent="0.25">
      <c r="T63">
        <v>0.79</v>
      </c>
      <c r="U63">
        <v>4.2789999999999999</v>
      </c>
      <c r="AC63">
        <v>0.7</v>
      </c>
      <c r="AD63">
        <v>3.0030000000000001</v>
      </c>
      <c r="AU63">
        <v>0.6</v>
      </c>
      <c r="AV63">
        <v>3.4039999999999999</v>
      </c>
    </row>
    <row r="64" spans="2:52" x14ac:dyDescent="0.25">
      <c r="T64">
        <v>0.79</v>
      </c>
      <c r="U64">
        <v>4.298</v>
      </c>
      <c r="AC64">
        <v>0.71</v>
      </c>
      <c r="AD64">
        <v>3.024</v>
      </c>
      <c r="AU64">
        <v>0.61</v>
      </c>
      <c r="AV64">
        <v>3.4279999999999999</v>
      </c>
    </row>
    <row r="65" spans="20:48" x14ac:dyDescent="0.25">
      <c r="T65">
        <v>0.8</v>
      </c>
      <c r="U65">
        <v>4.3170000000000002</v>
      </c>
      <c r="AC65">
        <v>0.72</v>
      </c>
      <c r="AD65">
        <v>3.0449999999999999</v>
      </c>
      <c r="AU65">
        <v>0.61</v>
      </c>
      <c r="AV65">
        <v>3.4529999999999998</v>
      </c>
    </row>
    <row r="66" spans="20:48" x14ac:dyDescent="0.25">
      <c r="T66">
        <v>0.8</v>
      </c>
      <c r="U66">
        <v>4.335</v>
      </c>
      <c r="AC66">
        <v>0.73</v>
      </c>
      <c r="AD66">
        <v>3.0659999999999998</v>
      </c>
    </row>
    <row r="67" spans="20:48" x14ac:dyDescent="0.25">
      <c r="T67">
        <v>0.81</v>
      </c>
      <c r="U67">
        <v>4.3540000000000001</v>
      </c>
      <c r="AC67">
        <v>0.73</v>
      </c>
      <c r="AD67">
        <v>3.0870000000000002</v>
      </c>
    </row>
    <row r="68" spans="20:48" x14ac:dyDescent="0.25">
      <c r="AC68">
        <v>0.74</v>
      </c>
      <c r="AD68">
        <v>3.1070000000000002</v>
      </c>
    </row>
  </sheetData>
  <mergeCells count="6">
    <mergeCell ref="B2:H2"/>
    <mergeCell ref="K2:P2"/>
    <mergeCell ref="T2:Y2"/>
    <mergeCell ref="AC2:AH2"/>
    <mergeCell ref="AL2:AR2"/>
    <mergeCell ref="AU2:B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Hoja1</vt:lpstr>
      <vt:lpstr>Hoja2</vt:lpstr>
      <vt:lpstr>Gráfico1</vt:lpstr>
      <vt:lpstr>Gráfico1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LabTec-I</dc:creator>
  <cp:lastModifiedBy>LabTec-I</cp:lastModifiedBy>
  <dcterms:created xsi:type="dcterms:W3CDTF">2024-03-04T15:08:08Z</dcterms:created>
  <dcterms:modified xsi:type="dcterms:W3CDTF">2024-03-04T17:31:37Z</dcterms:modified>
</cp:coreProperties>
</file>