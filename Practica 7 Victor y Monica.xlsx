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Tec-I\Desktop\"/>
    </mc:Choice>
  </mc:AlternateContent>
  <bookViews>
    <workbookView xWindow="0" yWindow="0" windowWidth="19200" windowHeight="1137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2" l="1"/>
  <c r="L13" i="2"/>
  <c r="M5" i="2" a="1"/>
  <c r="M5" i="2" s="1"/>
  <c r="J7" i="2"/>
  <c r="J6" i="2"/>
  <c r="J5" i="2"/>
  <c r="J4" i="2"/>
  <c r="J3" i="2"/>
  <c r="J2" i="2"/>
  <c r="I3" i="2"/>
  <c r="I7" i="2"/>
  <c r="I6" i="2"/>
  <c r="I5" i="2"/>
  <c r="I4" i="2"/>
  <c r="I2" i="2"/>
  <c r="E4" i="2"/>
  <c r="E5" i="2"/>
  <c r="E6" i="2"/>
  <c r="E7" i="2"/>
  <c r="E8" i="2"/>
  <c r="E9" i="2"/>
  <c r="E10" i="2"/>
  <c r="E11" i="2"/>
  <c r="E12" i="2"/>
  <c r="E13" i="2"/>
  <c r="E2" i="2"/>
  <c r="E3" i="2"/>
  <c r="F3" i="1"/>
  <c r="P21" i="1"/>
  <c r="Q14" i="1"/>
  <c r="Q10" i="1"/>
  <c r="Q17" i="1"/>
  <c r="P17" i="1"/>
  <c r="P14" i="1"/>
  <c r="P10" i="1"/>
  <c r="L2" i="1" a="1"/>
  <c r="L2" i="1" s="1"/>
  <c r="F4" i="1"/>
  <c r="F5" i="1"/>
  <c r="F6" i="1"/>
  <c r="F2" i="1"/>
  <c r="E3" i="1"/>
  <c r="E4" i="1"/>
  <c r="E5" i="1"/>
  <c r="E6" i="1"/>
  <c r="E2" i="1"/>
  <c r="C3" i="1"/>
  <c r="C2" i="1"/>
  <c r="A2" i="1"/>
  <c r="N6" i="2" l="1"/>
  <c r="M6" i="2"/>
  <c r="N7" i="2"/>
  <c r="N5" i="2"/>
  <c r="M7" i="2"/>
  <c r="L3" i="1"/>
  <c r="M3" i="1"/>
  <c r="M4" i="1"/>
  <c r="M2" i="1"/>
  <c r="L4" i="1"/>
</calcChain>
</file>

<file path=xl/sharedStrings.xml><?xml version="1.0" encoding="utf-8"?>
<sst xmlns="http://schemas.openxmlformats.org/spreadsheetml/2006/main" count="40" uniqueCount="28">
  <si>
    <t>portapesas (g)</t>
  </si>
  <si>
    <t>m2(g)</t>
  </si>
  <si>
    <t>m1(g)</t>
  </si>
  <si>
    <t>Velocidad lineal (m/s)</t>
  </si>
  <si>
    <t>Serie N.º 9</t>
  </si>
  <si>
    <t>Automático</t>
  </si>
  <si>
    <t>Tiempo (s)</t>
  </si>
  <si>
    <t>g (m/s^2)</t>
  </si>
  <si>
    <r>
      <rPr>
        <sz val="11"/>
        <color theme="1"/>
        <rFont val="Haettenschweiler"/>
        <family val="2"/>
      </rPr>
      <t xml:space="preserve"> </t>
    </r>
    <r>
      <rPr>
        <sz val="11"/>
        <color theme="1"/>
        <rFont val="Calibri"/>
        <family val="2"/>
      </rPr>
      <t>Am(g)</t>
    </r>
  </si>
  <si>
    <t>a (m/s^2)</t>
  </si>
  <si>
    <t>F (N)</t>
  </si>
  <si>
    <t>δa (m/s^2)</t>
  </si>
  <si>
    <t>pendiente</t>
  </si>
  <si>
    <t>δpendiente</t>
  </si>
  <si>
    <t>ord origen</t>
  </si>
  <si>
    <t>δord origen</t>
  </si>
  <si>
    <t>R^2</t>
  </si>
  <si>
    <t>m polea</t>
  </si>
  <si>
    <t>δm polea</t>
  </si>
  <si>
    <t>F rozamiento</t>
  </si>
  <si>
    <t>δF rozamiento</t>
  </si>
  <si>
    <t>δm total</t>
  </si>
  <si>
    <t>m total (Kg)</t>
  </si>
  <si>
    <t>m1 extra (g)</t>
  </si>
  <si>
    <t xml:space="preserve"> Am(g)</t>
  </si>
  <si>
    <t>ac (m/s^2)</t>
  </si>
  <si>
    <t>1/M (g^-1)</t>
  </si>
  <si>
    <t>δg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</si>
</sst>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Haettenschweiler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</a:t>
            </a:r>
            <a:r>
              <a:rPr lang="es-ES" baseline="0"/>
              <a:t> frente a aceleración producida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8.4043744531933515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Hoja1!$H$2:$H$6</c:f>
                <c:numCache>
                  <c:formatCode>General</c:formatCode>
                  <c:ptCount val="5"/>
                  <c:pt idx="0">
                    <c:v>1E-3</c:v>
                  </c:pt>
                  <c:pt idx="1">
                    <c:v>1.1000000000000001E-3</c:v>
                  </c:pt>
                  <c:pt idx="2">
                    <c:v>1.1000000000000001E-3</c:v>
                  </c:pt>
                  <c:pt idx="3">
                    <c:v>1.1999999999999999E-3</c:v>
                  </c:pt>
                  <c:pt idx="4">
                    <c:v>5.4000000000000001E-4</c:v>
                  </c:pt>
                </c:numCache>
              </c:numRef>
            </c:plus>
            <c:minus>
              <c:numRef>
                <c:f>Hoja1!$H$2:$H$6</c:f>
                <c:numCache>
                  <c:formatCode>General</c:formatCode>
                  <c:ptCount val="5"/>
                  <c:pt idx="0">
                    <c:v>1E-3</c:v>
                  </c:pt>
                  <c:pt idx="1">
                    <c:v>1.1000000000000001E-3</c:v>
                  </c:pt>
                  <c:pt idx="2">
                    <c:v>1.1000000000000001E-3</c:v>
                  </c:pt>
                  <c:pt idx="3">
                    <c:v>1.1999999999999999E-3</c:v>
                  </c:pt>
                  <c:pt idx="4">
                    <c:v>5.4000000000000001E-4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Hoja1!$G$2:$G$6</c:f>
              <c:numCache>
                <c:formatCode>General</c:formatCode>
                <c:ptCount val="5"/>
                <c:pt idx="0">
                  <c:v>0.72</c:v>
                </c:pt>
                <c:pt idx="1">
                  <c:v>0.56999999999999995</c:v>
                </c:pt>
                <c:pt idx="2">
                  <c:v>0.41799999999999998</c:v>
                </c:pt>
                <c:pt idx="3">
                  <c:v>0.26400000000000001</c:v>
                </c:pt>
                <c:pt idx="4">
                  <c:v>9.5799999999999996E-2</c:v>
                </c:pt>
              </c:numCache>
            </c:numRef>
          </c:xVal>
          <c:yVal>
            <c:numRef>
              <c:f>Hoja1!$F$2:$F$6</c:f>
              <c:numCache>
                <c:formatCode>General</c:formatCode>
                <c:ptCount val="5"/>
                <c:pt idx="0">
                  <c:v>9.8100000000000007E-2</c:v>
                </c:pt>
                <c:pt idx="1">
                  <c:v>7.8480000000000008E-2</c:v>
                </c:pt>
                <c:pt idx="2">
                  <c:v>5.8860000000000003E-2</c:v>
                </c:pt>
                <c:pt idx="3">
                  <c:v>3.9240000000000004E-2</c:v>
                </c:pt>
                <c:pt idx="4">
                  <c:v>1.9620000000000002E-2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BE-4587-BCD6-1CE9F3DDC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669168"/>
        <c:axId val="1588669584"/>
      </c:scatterChart>
      <c:valAx>
        <c:axId val="158866916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 (m/s^2)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8669584"/>
        <c:crosses val="autoZero"/>
        <c:crossBetween val="midCat"/>
      </c:valAx>
      <c:valAx>
        <c:axId val="15886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 (N)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866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ac</a:t>
            </a:r>
            <a:r>
              <a:rPr lang="es-ES" baseline="0"/>
              <a:t> frente a 1/M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5782407407407409"/>
          <c:w val="0.81550918635170599"/>
          <c:h val="0.6227161708953047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(Hoja2!$J$2,Hoja2!$J$3,Hoja2!$J$4,Hoja2!$J$5,Hoja2!$J$6,Hoja2!$J$7)</c:f>
              <c:numCache>
                <c:formatCode>General</c:formatCode>
                <c:ptCount val="6"/>
                <c:pt idx="0">
                  <c:v>1.8518518518518517E-2</c:v>
                </c:pt>
                <c:pt idx="1">
                  <c:v>1.3513513513513514E-2</c:v>
                </c:pt>
                <c:pt idx="2">
                  <c:v>1.0638297872340425E-2</c:v>
                </c:pt>
                <c:pt idx="3">
                  <c:v>8.771929824561403E-3</c:v>
                </c:pt>
                <c:pt idx="4">
                  <c:v>7.462686567164179E-3</c:v>
                </c:pt>
                <c:pt idx="5">
                  <c:v>6.4935064935064939E-3</c:v>
                </c:pt>
              </c:numCache>
            </c:numRef>
          </c:xVal>
          <c:yVal>
            <c:numRef>
              <c:f>(Hoja2!$I$2,Hoja2!$I$3,Hoja2!$I$4,Hoja2!$I$5,Hoja2!$I$6,Hoja2!$I$7)</c:f>
              <c:numCache>
                <c:formatCode>General</c:formatCode>
                <c:ptCount val="6"/>
                <c:pt idx="0">
                  <c:v>0.61869999999999992</c:v>
                </c:pt>
                <c:pt idx="1">
                  <c:v>0.44950000000000001</c:v>
                </c:pt>
                <c:pt idx="2">
                  <c:v>0.39480000000000004</c:v>
                </c:pt>
                <c:pt idx="3">
                  <c:v>0.33730000000000004</c:v>
                </c:pt>
                <c:pt idx="4">
                  <c:v>0.27700000000000002</c:v>
                </c:pt>
                <c:pt idx="5">
                  <c:v>0.2213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E-4830-B6CA-6AC6F842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800624"/>
        <c:axId val="1661806864"/>
      </c:scatterChart>
      <c:valAx>
        <c:axId val="166180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1/M (g^-1))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1806864"/>
        <c:crosses val="autoZero"/>
        <c:crossBetween val="midCat"/>
      </c:valAx>
      <c:valAx>
        <c:axId val="166180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 (m/s^2)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6180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9</xdr:row>
      <xdr:rowOff>28575</xdr:rowOff>
    </xdr:from>
    <xdr:to>
      <xdr:col>13</xdr:col>
      <xdr:colOff>342900</xdr:colOff>
      <xdr:row>23</xdr:row>
      <xdr:rowOff>104775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17</xdr:row>
      <xdr:rowOff>85725</xdr:rowOff>
    </xdr:from>
    <xdr:to>
      <xdr:col>10</xdr:col>
      <xdr:colOff>209550</xdr:colOff>
      <xdr:row>31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tabSelected="1" topLeftCell="C1" workbookViewId="0">
      <selection activeCell="F4" sqref="F4"/>
    </sheetView>
  </sheetViews>
  <sheetFormatPr baseColWidth="10" defaultRowHeight="15" x14ac:dyDescent="0.25"/>
  <cols>
    <col min="1" max="1" width="13.7109375" customWidth="1"/>
    <col min="16" max="16" width="12.5703125" bestFit="1" customWidth="1"/>
    <col min="17" max="17" width="13.7109375" bestFit="1" customWidth="1"/>
  </cols>
  <sheetData>
    <row r="1" spans="1:17" x14ac:dyDescent="0.25">
      <c r="A1" t="s">
        <v>0</v>
      </c>
      <c r="B1" t="s">
        <v>7</v>
      </c>
      <c r="C1" t="s">
        <v>2</v>
      </c>
      <c r="D1" t="s">
        <v>1</v>
      </c>
      <c r="E1" s="1" t="s">
        <v>8</v>
      </c>
      <c r="F1" s="1" t="s">
        <v>10</v>
      </c>
      <c r="G1" s="1" t="s">
        <v>9</v>
      </c>
      <c r="H1" s="1" t="s">
        <v>11</v>
      </c>
      <c r="I1" s="1"/>
    </row>
    <row r="2" spans="1:17" x14ac:dyDescent="0.25">
      <c r="A2">
        <f>5</f>
        <v>5</v>
      </c>
      <c r="B2">
        <v>9.81</v>
      </c>
      <c r="C2">
        <f>65</f>
        <v>65</v>
      </c>
      <c r="D2">
        <v>55</v>
      </c>
      <c r="E2">
        <f>C2-D2</f>
        <v>10</v>
      </c>
      <c r="F2">
        <f>E2*$B$2/1000</f>
        <v>9.8100000000000007E-2</v>
      </c>
      <c r="G2">
        <v>0.72</v>
      </c>
      <c r="H2">
        <v>1E-3</v>
      </c>
      <c r="K2" t="s">
        <v>12</v>
      </c>
      <c r="L2" s="2">
        <f t="array" ref="L2:M4">LINEST(F2:F6,G2:G6,1,1)</f>
        <v>0.12615845950946489</v>
      </c>
      <c r="M2" s="2">
        <v>6.6859074852657074E-3</v>
      </c>
      <c r="N2" t="s">
        <v>14</v>
      </c>
    </row>
    <row r="3" spans="1:17" x14ac:dyDescent="0.25">
      <c r="C3">
        <f>64</f>
        <v>64</v>
      </c>
      <c r="D3">
        <v>56</v>
      </c>
      <c r="E3">
        <f t="shared" ref="E3:E6" si="0">C3-D3</f>
        <v>8</v>
      </c>
      <c r="F3">
        <f>E3*$B$2/1000</f>
        <v>7.8480000000000008E-2</v>
      </c>
      <c r="G3">
        <v>0.56999999999999995</v>
      </c>
      <c r="H3">
        <v>1.1000000000000001E-3</v>
      </c>
      <c r="K3" t="s">
        <v>13</v>
      </c>
      <c r="L3" s="2">
        <v>1.6389665894328178E-3</v>
      </c>
      <c r="M3" s="2">
        <v>7.6765865257335478E-4</v>
      </c>
      <c r="N3" t="s">
        <v>15</v>
      </c>
    </row>
    <row r="4" spans="1:17" x14ac:dyDescent="0.25">
      <c r="C4">
        <v>63</v>
      </c>
      <c r="D4">
        <v>57</v>
      </c>
      <c r="E4">
        <f t="shared" si="0"/>
        <v>6</v>
      </c>
      <c r="F4">
        <f t="shared" ref="F3:F6" si="1">E4*$B$2/1000</f>
        <v>5.8860000000000003E-2</v>
      </c>
      <c r="G4">
        <v>0.41799999999999998</v>
      </c>
      <c r="H4">
        <v>1.1000000000000001E-3</v>
      </c>
      <c r="K4" t="s">
        <v>16</v>
      </c>
      <c r="L4" s="2">
        <v>0.99949393201586212</v>
      </c>
      <c r="M4" s="2">
        <v>8.0582884144864955E-4</v>
      </c>
    </row>
    <row r="5" spans="1:17" x14ac:dyDescent="0.25">
      <c r="C5">
        <v>62</v>
      </c>
      <c r="D5">
        <v>58</v>
      </c>
      <c r="E5">
        <f t="shared" si="0"/>
        <v>4</v>
      </c>
      <c r="F5">
        <f t="shared" si="1"/>
        <v>3.9240000000000004E-2</v>
      </c>
      <c r="G5">
        <v>0.26400000000000001</v>
      </c>
      <c r="H5">
        <v>1.1999999999999999E-3</v>
      </c>
    </row>
    <row r="6" spans="1:17" x14ac:dyDescent="0.25">
      <c r="C6">
        <v>61</v>
      </c>
      <c r="D6">
        <v>59</v>
      </c>
      <c r="E6">
        <f t="shared" si="0"/>
        <v>2</v>
      </c>
      <c r="F6">
        <f t="shared" si="1"/>
        <v>1.9620000000000002E-2</v>
      </c>
      <c r="G6">
        <v>9.5799999999999996E-2</v>
      </c>
      <c r="H6">
        <v>5.4000000000000001E-4</v>
      </c>
    </row>
    <row r="9" spans="1:17" x14ac:dyDescent="0.25">
      <c r="D9" t="s">
        <v>4</v>
      </c>
      <c r="E9" t="s">
        <v>5</v>
      </c>
      <c r="P9" t="s">
        <v>22</v>
      </c>
      <c r="Q9" t="s">
        <v>21</v>
      </c>
    </row>
    <row r="10" spans="1:17" x14ac:dyDescent="0.25">
      <c r="D10" t="s">
        <v>3</v>
      </c>
      <c r="E10" t="s">
        <v>6</v>
      </c>
      <c r="P10" s="2">
        <f>L2</f>
        <v>0.12615845950946489</v>
      </c>
      <c r="Q10" s="2">
        <f>L3</f>
        <v>1.6389665894328178E-3</v>
      </c>
    </row>
    <row r="11" spans="1:17" x14ac:dyDescent="0.25">
      <c r="D11">
        <v>0.02</v>
      </c>
      <c r="E11">
        <v>1.4359999999999999</v>
      </c>
    </row>
    <row r="12" spans="1:17" x14ac:dyDescent="0.25">
      <c r="D12">
        <v>0.12</v>
      </c>
      <c r="E12">
        <v>1.845</v>
      </c>
    </row>
    <row r="13" spans="1:17" x14ac:dyDescent="0.25">
      <c r="D13">
        <v>0.18</v>
      </c>
      <c r="E13">
        <v>1.9510000000000001</v>
      </c>
      <c r="P13" t="s">
        <v>17</v>
      </c>
      <c r="Q13" t="s">
        <v>18</v>
      </c>
    </row>
    <row r="14" spans="1:17" x14ac:dyDescent="0.25">
      <c r="D14">
        <v>0.22</v>
      </c>
      <c r="E14">
        <v>2.0270000000000001</v>
      </c>
      <c r="P14" s="2">
        <f>P10-(C2+D2)/1000</f>
        <v>6.158459509464892E-3</v>
      </c>
      <c r="Q14" s="2">
        <f>Q10</f>
        <v>1.6389665894328178E-3</v>
      </c>
    </row>
    <row r="15" spans="1:17" x14ac:dyDescent="0.25">
      <c r="D15">
        <v>0.26</v>
      </c>
      <c r="E15">
        <v>2.09</v>
      </c>
    </row>
    <row r="16" spans="1:17" x14ac:dyDescent="0.25">
      <c r="D16">
        <v>0.28999999999999998</v>
      </c>
      <c r="E16">
        <v>2.145</v>
      </c>
      <c r="P16" t="s">
        <v>19</v>
      </c>
      <c r="Q16" t="s">
        <v>20</v>
      </c>
    </row>
    <row r="17" spans="4:17" x14ac:dyDescent="0.25">
      <c r="D17">
        <v>0.32</v>
      </c>
      <c r="E17">
        <v>2.1949999999999998</v>
      </c>
      <c r="P17" s="2">
        <f>M2</f>
        <v>6.6859074852657074E-3</v>
      </c>
      <c r="Q17" s="2">
        <f>M3</f>
        <v>7.6765865257335478E-4</v>
      </c>
    </row>
    <row r="18" spans="4:17" x14ac:dyDescent="0.25">
      <c r="D18">
        <v>0.34</v>
      </c>
      <c r="E18">
        <v>2.2410000000000001</v>
      </c>
    </row>
    <row r="19" spans="4:17" x14ac:dyDescent="0.25">
      <c r="D19">
        <v>0.36</v>
      </c>
      <c r="E19">
        <v>2.2839999999999998</v>
      </c>
    </row>
    <row r="20" spans="4:17" x14ac:dyDescent="0.25">
      <c r="D20">
        <v>0.39</v>
      </c>
      <c r="E20">
        <v>2.3239999999999998</v>
      </c>
      <c r="P20" t="s">
        <v>23</v>
      </c>
    </row>
    <row r="21" spans="4:17" x14ac:dyDescent="0.25">
      <c r="D21">
        <v>0.41</v>
      </c>
      <c r="E21">
        <v>2.3620000000000001</v>
      </c>
      <c r="P21">
        <f>P17/B2*1000</f>
        <v>0.68154000869171327</v>
      </c>
    </row>
    <row r="22" spans="4:17" x14ac:dyDescent="0.25">
      <c r="D22">
        <v>0.43</v>
      </c>
      <c r="E22">
        <v>2.3969999999999998</v>
      </c>
    </row>
    <row r="23" spans="4:17" x14ac:dyDescent="0.25">
      <c r="D23">
        <v>0.45</v>
      </c>
      <c r="E23">
        <v>2.4319999999999999</v>
      </c>
    </row>
    <row r="24" spans="4:17" x14ac:dyDescent="0.25">
      <c r="D24">
        <v>0.47</v>
      </c>
      <c r="E24">
        <v>2.464</v>
      </c>
    </row>
    <row r="25" spans="4:17" x14ac:dyDescent="0.25">
      <c r="D25">
        <v>0.49</v>
      </c>
      <c r="E25">
        <v>2.496</v>
      </c>
    </row>
    <row r="26" spans="4:17" x14ac:dyDescent="0.25">
      <c r="D26">
        <v>0.5</v>
      </c>
      <c r="E26">
        <v>2.5259999999999998</v>
      </c>
    </row>
    <row r="27" spans="4:17" x14ac:dyDescent="0.25">
      <c r="D27">
        <v>0.52</v>
      </c>
      <c r="E27">
        <v>2.556</v>
      </c>
    </row>
    <row r="28" spans="4:17" x14ac:dyDescent="0.25">
      <c r="D28">
        <v>0.53</v>
      </c>
      <c r="E28">
        <v>2.5840000000000001</v>
      </c>
    </row>
    <row r="29" spans="4:17" x14ac:dyDescent="0.25">
      <c r="D29">
        <v>0.55000000000000004</v>
      </c>
      <c r="E29">
        <v>2.6120000000000001</v>
      </c>
    </row>
    <row r="30" spans="4:17" x14ac:dyDescent="0.25">
      <c r="D30">
        <v>0.56999999999999995</v>
      </c>
      <c r="E30">
        <v>2.6389999999999998</v>
      </c>
    </row>
    <row r="31" spans="4:17" x14ac:dyDescent="0.25">
      <c r="D31">
        <v>0.57999999999999996</v>
      </c>
      <c r="E31">
        <v>2.665</v>
      </c>
    </row>
    <row r="32" spans="4:17" x14ac:dyDescent="0.25">
      <c r="D32">
        <v>0.6</v>
      </c>
      <c r="E32">
        <v>2.69</v>
      </c>
    </row>
    <row r="33" spans="4:5" x14ac:dyDescent="0.25">
      <c r="D33">
        <v>0.61</v>
      </c>
      <c r="E33">
        <v>2.7149999999999999</v>
      </c>
    </row>
    <row r="34" spans="4:5" x14ac:dyDescent="0.25">
      <c r="D34">
        <v>0.62</v>
      </c>
      <c r="E34">
        <v>2.74</v>
      </c>
    </row>
    <row r="35" spans="4:5" x14ac:dyDescent="0.25">
      <c r="D35">
        <v>0.64</v>
      </c>
      <c r="E35">
        <v>2.7639999999999998</v>
      </c>
    </row>
    <row r="36" spans="4:5" x14ac:dyDescent="0.25">
      <c r="D36">
        <v>0.65</v>
      </c>
      <c r="E36">
        <v>2.7869999999999999</v>
      </c>
    </row>
    <row r="37" spans="4:5" x14ac:dyDescent="0.25">
      <c r="D37">
        <v>0.66</v>
      </c>
      <c r="E37">
        <v>2.81</v>
      </c>
    </row>
    <row r="38" spans="4:5" x14ac:dyDescent="0.25">
      <c r="D38">
        <v>0.67</v>
      </c>
      <c r="E38">
        <v>2.8319999999999999</v>
      </c>
    </row>
    <row r="39" spans="4:5" x14ac:dyDescent="0.25">
      <c r="D39">
        <v>0.69</v>
      </c>
      <c r="E39">
        <v>2.8540000000000001</v>
      </c>
    </row>
    <row r="40" spans="4:5" x14ac:dyDescent="0.25">
      <c r="D40">
        <v>0.7</v>
      </c>
      <c r="E40">
        <v>2.8759999999999999</v>
      </c>
    </row>
    <row r="41" spans="4:5" x14ac:dyDescent="0.25">
      <c r="D41">
        <v>0.71</v>
      </c>
      <c r="E41">
        <v>2.8969999999999998</v>
      </c>
    </row>
    <row r="42" spans="4:5" x14ac:dyDescent="0.25">
      <c r="D42">
        <v>0.73</v>
      </c>
      <c r="E42">
        <v>2.9180000000000001</v>
      </c>
    </row>
    <row r="43" spans="4:5" x14ac:dyDescent="0.25">
      <c r="D43">
        <v>0.73</v>
      </c>
      <c r="E43">
        <v>2.9390000000000001</v>
      </c>
    </row>
    <row r="44" spans="4:5" x14ac:dyDescent="0.25">
      <c r="D44">
        <v>0.75</v>
      </c>
      <c r="E44">
        <v>2.9590000000000001</v>
      </c>
    </row>
    <row r="45" spans="4:5" x14ac:dyDescent="0.25">
      <c r="D45">
        <v>0.76</v>
      </c>
      <c r="E45">
        <v>2.9790000000000001</v>
      </c>
    </row>
    <row r="46" spans="4:5" x14ac:dyDescent="0.25">
      <c r="D46">
        <v>0.77</v>
      </c>
      <c r="E46">
        <v>2.9980000000000002</v>
      </c>
    </row>
    <row r="47" spans="4:5" x14ac:dyDescent="0.25">
      <c r="D47">
        <v>0.78</v>
      </c>
      <c r="E47">
        <v>3.0179999999999998</v>
      </c>
    </row>
    <row r="48" spans="4:5" x14ac:dyDescent="0.25">
      <c r="D48">
        <v>0.79</v>
      </c>
      <c r="E48">
        <v>3.0369999999999999</v>
      </c>
    </row>
    <row r="49" spans="4:5" x14ac:dyDescent="0.25">
      <c r="D49">
        <v>0.8</v>
      </c>
      <c r="E49">
        <v>3.0550000000000002</v>
      </c>
    </row>
    <row r="50" spans="4:5" x14ac:dyDescent="0.25">
      <c r="D50">
        <v>0.81</v>
      </c>
      <c r="E50">
        <v>3.0739999999999998</v>
      </c>
    </row>
    <row r="51" spans="4:5" x14ac:dyDescent="0.25">
      <c r="D51">
        <v>0.83</v>
      </c>
      <c r="E51">
        <v>3.0920000000000001</v>
      </c>
    </row>
    <row r="52" spans="4:5" x14ac:dyDescent="0.25">
      <c r="D52">
        <v>0.84</v>
      </c>
      <c r="E52">
        <v>3.11</v>
      </c>
    </row>
    <row r="53" spans="4:5" x14ac:dyDescent="0.25">
      <c r="D53">
        <v>0.84</v>
      </c>
      <c r="E53">
        <v>3.1280000000000001</v>
      </c>
    </row>
    <row r="54" spans="4:5" x14ac:dyDescent="0.25">
      <c r="D54">
        <v>0.86</v>
      </c>
      <c r="E54">
        <v>3.1459999999999999</v>
      </c>
    </row>
    <row r="55" spans="4:5" x14ac:dyDescent="0.25">
      <c r="D55">
        <v>0.87</v>
      </c>
      <c r="E55">
        <v>3.1629999999999998</v>
      </c>
    </row>
    <row r="56" spans="4:5" x14ac:dyDescent="0.25">
      <c r="D56">
        <v>0.88</v>
      </c>
      <c r="E56">
        <v>3.18</v>
      </c>
    </row>
    <row r="57" spans="4:5" x14ac:dyDescent="0.25">
      <c r="D57">
        <v>0.89</v>
      </c>
      <c r="E57">
        <v>3.1970000000000001</v>
      </c>
    </row>
    <row r="58" spans="4:5" x14ac:dyDescent="0.25">
      <c r="D58">
        <v>0.89</v>
      </c>
      <c r="E58">
        <v>3.214</v>
      </c>
    </row>
    <row r="59" spans="4:5" x14ac:dyDescent="0.25">
      <c r="D59">
        <v>0.9</v>
      </c>
      <c r="E59">
        <v>3.2309999999999999</v>
      </c>
    </row>
    <row r="60" spans="4:5" x14ac:dyDescent="0.25">
      <c r="D60">
        <v>0.91</v>
      </c>
      <c r="E60">
        <v>3.2469999999999999</v>
      </c>
    </row>
    <row r="61" spans="4:5" x14ac:dyDescent="0.25">
      <c r="D61">
        <v>0.93</v>
      </c>
      <c r="E61">
        <v>3.2639999999999998</v>
      </c>
    </row>
    <row r="62" spans="4:5" x14ac:dyDescent="0.25">
      <c r="D62">
        <v>0.94</v>
      </c>
      <c r="E62">
        <v>3.28</v>
      </c>
    </row>
    <row r="63" spans="4:5" x14ac:dyDescent="0.25">
      <c r="D63">
        <v>0.94</v>
      </c>
      <c r="E63">
        <v>3.2959999999999998</v>
      </c>
    </row>
    <row r="64" spans="4:5" x14ac:dyDescent="0.25">
      <c r="D64">
        <v>0.95</v>
      </c>
      <c r="E64">
        <v>3.3119999999999998</v>
      </c>
    </row>
    <row r="65" spans="4:5" x14ac:dyDescent="0.25">
      <c r="D65">
        <v>0.96</v>
      </c>
      <c r="E65">
        <v>3.327</v>
      </c>
    </row>
    <row r="66" spans="4:5" x14ac:dyDescent="0.25">
      <c r="D66">
        <v>0.96</v>
      </c>
      <c r="E66">
        <v>3.343</v>
      </c>
    </row>
    <row r="67" spans="4:5" x14ac:dyDescent="0.25">
      <c r="D67">
        <v>0.97</v>
      </c>
      <c r="E67">
        <v>3.359</v>
      </c>
    </row>
    <row r="68" spans="4:5" x14ac:dyDescent="0.25">
      <c r="D68">
        <v>0.98</v>
      </c>
      <c r="E68">
        <v>3.3740000000000001</v>
      </c>
    </row>
    <row r="69" spans="4:5" x14ac:dyDescent="0.25">
      <c r="D69">
        <v>0.98</v>
      </c>
      <c r="E69">
        <v>3.3889999999999998</v>
      </c>
    </row>
    <row r="70" spans="4:5" x14ac:dyDescent="0.25">
      <c r="D70">
        <v>0.99</v>
      </c>
      <c r="E70">
        <v>3.4039999999999999</v>
      </c>
    </row>
    <row r="71" spans="4:5" x14ac:dyDescent="0.25">
      <c r="D71">
        <v>1</v>
      </c>
      <c r="E71">
        <v>3.419</v>
      </c>
    </row>
    <row r="72" spans="4:5" x14ac:dyDescent="0.25">
      <c r="D72">
        <v>1.01</v>
      </c>
      <c r="E72">
        <v>3.4340000000000002</v>
      </c>
    </row>
    <row r="73" spans="4:5" x14ac:dyDescent="0.25">
      <c r="D73">
        <v>1.01</v>
      </c>
      <c r="E73">
        <v>3.4489999999999998</v>
      </c>
    </row>
    <row r="74" spans="4:5" x14ac:dyDescent="0.25">
      <c r="D74">
        <v>1.02</v>
      </c>
      <c r="E74">
        <v>3.464</v>
      </c>
    </row>
    <row r="75" spans="4:5" x14ac:dyDescent="0.25">
      <c r="D75">
        <v>1.03</v>
      </c>
      <c r="E75">
        <v>3.4790000000000001</v>
      </c>
    </row>
    <row r="76" spans="4:5" x14ac:dyDescent="0.25">
      <c r="D76">
        <v>1.04</v>
      </c>
      <c r="E76">
        <v>3.4929999999999999</v>
      </c>
    </row>
    <row r="77" spans="4:5" x14ac:dyDescent="0.25">
      <c r="D77">
        <v>1.05</v>
      </c>
      <c r="E77">
        <v>3.5070000000000001</v>
      </c>
    </row>
    <row r="78" spans="4:5" x14ac:dyDescent="0.25">
      <c r="D78">
        <v>1.05</v>
      </c>
      <c r="E78">
        <v>3.5219999999999998</v>
      </c>
    </row>
    <row r="79" spans="4:5" x14ac:dyDescent="0.25">
      <c r="D79">
        <v>1.06</v>
      </c>
      <c r="E79">
        <v>3.536</v>
      </c>
    </row>
    <row r="80" spans="4:5" x14ac:dyDescent="0.25">
      <c r="D80">
        <v>1.06</v>
      </c>
      <c r="E80">
        <v>3.55</v>
      </c>
    </row>
    <row r="81" spans="4:5" x14ac:dyDescent="0.25">
      <c r="D81">
        <v>1.05</v>
      </c>
      <c r="E81">
        <v>3.5640000000000001</v>
      </c>
    </row>
    <row r="82" spans="4:5" x14ac:dyDescent="0.25">
      <c r="D82">
        <v>1.02</v>
      </c>
      <c r="E82">
        <v>3.5790000000000002</v>
      </c>
    </row>
    <row r="83" spans="4:5" x14ac:dyDescent="0.25">
      <c r="D83">
        <v>0.95</v>
      </c>
      <c r="E83">
        <v>3.5939999999999999</v>
      </c>
    </row>
    <row r="84" spans="4:5" x14ac:dyDescent="0.25">
      <c r="D84">
        <v>0.81</v>
      </c>
      <c r="E84">
        <v>3.6110000000000002</v>
      </c>
    </row>
    <row r="85" spans="4:5" x14ac:dyDescent="0.25">
      <c r="D85">
        <v>0.56000000000000005</v>
      </c>
      <c r="E85">
        <v>3.6339999999999999</v>
      </c>
    </row>
    <row r="86" spans="4:5" x14ac:dyDescent="0.25">
      <c r="D86">
        <v>0.2</v>
      </c>
      <c r="E86">
        <v>3.6850000000000001</v>
      </c>
    </row>
    <row r="87" spans="4:5" x14ac:dyDescent="0.25">
      <c r="D87">
        <v>0.04</v>
      </c>
      <c r="E87">
        <v>3.907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M14" sqref="M14"/>
    </sheetView>
  </sheetViews>
  <sheetFormatPr baseColWidth="10" defaultRowHeight="15" x14ac:dyDescent="0.25"/>
  <sheetData>
    <row r="1" spans="1:15" x14ac:dyDescent="0.25">
      <c r="A1" t="s">
        <v>7</v>
      </c>
      <c r="B1" t="s">
        <v>2</v>
      </c>
      <c r="C1" t="s">
        <v>1</v>
      </c>
      <c r="D1" t="s">
        <v>24</v>
      </c>
      <c r="E1" t="s">
        <v>10</v>
      </c>
      <c r="F1" t="s">
        <v>9</v>
      </c>
      <c r="G1" t="s">
        <v>11</v>
      </c>
      <c r="I1" t="s">
        <v>25</v>
      </c>
      <c r="J1" t="s">
        <v>26</v>
      </c>
    </row>
    <row r="2" spans="1:15" x14ac:dyDescent="0.25">
      <c r="A2">
        <v>9.81</v>
      </c>
      <c r="B2">
        <v>29</v>
      </c>
      <c r="C2">
        <v>25</v>
      </c>
      <c r="D2">
        <v>4</v>
      </c>
      <c r="E2">
        <f>D2*$A$2/1000</f>
        <v>3.9240000000000004E-2</v>
      </c>
      <c r="F2">
        <v>0.58399999999999996</v>
      </c>
      <c r="G2">
        <v>1.1000000000000001E-3</v>
      </c>
      <c r="I2">
        <f>F2+ABS(F3)</f>
        <v>0.61869999999999992</v>
      </c>
      <c r="J2">
        <f>(B3+C3)^-1</f>
        <v>1.8518518518518517E-2</v>
      </c>
    </row>
    <row r="3" spans="1:15" x14ac:dyDescent="0.25">
      <c r="B3">
        <v>27</v>
      </c>
      <c r="C3">
        <v>27</v>
      </c>
      <c r="D3">
        <v>0</v>
      </c>
      <c r="E3">
        <f>D3*$A$2/1000</f>
        <v>0</v>
      </c>
      <c r="F3">
        <v>-3.4700000000000002E-2</v>
      </c>
      <c r="G3">
        <v>3.2000000000000002E-3</v>
      </c>
      <c r="I3">
        <f>F4+ABS(F5)</f>
        <v>0.44950000000000001</v>
      </c>
      <c r="J3">
        <f>(B5+C5)^-1</f>
        <v>1.3513513513513514E-2</v>
      </c>
    </row>
    <row r="4" spans="1:15" x14ac:dyDescent="0.25">
      <c r="B4">
        <v>39</v>
      </c>
      <c r="C4">
        <v>35</v>
      </c>
      <c r="D4">
        <v>4</v>
      </c>
      <c r="E4">
        <f t="shared" ref="E4:E13" si="0">D4*$A$2/1000</f>
        <v>3.9240000000000004E-2</v>
      </c>
      <c r="F4">
        <v>0.41899999999999998</v>
      </c>
      <c r="G4">
        <v>1.1999999999999999E-3</v>
      </c>
      <c r="I4">
        <f>F6+ABS(F7)</f>
        <v>0.39480000000000004</v>
      </c>
      <c r="J4">
        <f>(B7+C7)^-1</f>
        <v>1.0638297872340425E-2</v>
      </c>
    </row>
    <row r="5" spans="1:15" x14ac:dyDescent="0.25">
      <c r="B5">
        <v>37</v>
      </c>
      <c r="C5">
        <v>37</v>
      </c>
      <c r="D5">
        <v>0</v>
      </c>
      <c r="E5">
        <f t="shared" si="0"/>
        <v>0</v>
      </c>
      <c r="F5">
        <v>-3.0499999999999999E-2</v>
      </c>
      <c r="G5">
        <v>9.8999999999999999E-4</v>
      </c>
      <c r="I5">
        <f>F8+ABS(F9)</f>
        <v>0.33730000000000004</v>
      </c>
      <c r="J5">
        <f>(B9+C9)^-1</f>
        <v>8.771929824561403E-3</v>
      </c>
      <c r="L5" t="s">
        <v>12</v>
      </c>
      <c r="M5">
        <f t="array" ref="M5:N7">LINEST(I2:I7,J2:J7,1,1)</f>
        <v>31.186482553378735</v>
      </c>
      <c r="N5">
        <v>4.3175382176505905E-2</v>
      </c>
      <c r="O5" t="s">
        <v>14</v>
      </c>
    </row>
    <row r="6" spans="1:15" x14ac:dyDescent="0.25">
      <c r="B6">
        <v>49</v>
      </c>
      <c r="C6">
        <v>45</v>
      </c>
      <c r="D6">
        <v>4</v>
      </c>
      <c r="E6">
        <f t="shared" si="0"/>
        <v>3.9240000000000004E-2</v>
      </c>
      <c r="F6">
        <v>0.32800000000000001</v>
      </c>
      <c r="G6">
        <v>8.5999999999999998E-4</v>
      </c>
      <c r="I6">
        <f>F10+ABS(F11)</f>
        <v>0.27700000000000002</v>
      </c>
      <c r="J6">
        <f>(B11+C11)^-1</f>
        <v>7.462686567164179E-3</v>
      </c>
      <c r="L6" t="s">
        <v>13</v>
      </c>
      <c r="M6">
        <v>2.0209160198955631</v>
      </c>
      <c r="N6">
        <v>2.3532003334389911E-2</v>
      </c>
      <c r="O6" t="s">
        <v>15</v>
      </c>
    </row>
    <row r="7" spans="1:15" x14ac:dyDescent="0.25">
      <c r="B7">
        <v>47</v>
      </c>
      <c r="C7">
        <v>47</v>
      </c>
      <c r="D7">
        <v>0</v>
      </c>
      <c r="E7">
        <f t="shared" si="0"/>
        <v>0</v>
      </c>
      <c r="F7">
        <v>-6.6799999999999998E-2</v>
      </c>
      <c r="G7">
        <v>1.6000000000000001E-3</v>
      </c>
      <c r="I7">
        <f>F12+ABS(F13)</f>
        <v>0.2213</v>
      </c>
      <c r="J7">
        <f>(B13+C13)^-1</f>
        <v>6.4935064935064939E-3</v>
      </c>
      <c r="L7" t="s">
        <v>16</v>
      </c>
      <c r="M7">
        <v>0.9834807771798818</v>
      </c>
      <c r="N7">
        <v>2.027994575161602E-2</v>
      </c>
    </row>
    <row r="8" spans="1:15" x14ac:dyDescent="0.25">
      <c r="B8">
        <v>59</v>
      </c>
      <c r="C8">
        <v>55</v>
      </c>
      <c r="D8">
        <v>4</v>
      </c>
      <c r="E8">
        <f t="shared" si="0"/>
        <v>3.9240000000000004E-2</v>
      </c>
      <c r="F8">
        <v>0.26300000000000001</v>
      </c>
      <c r="G8">
        <v>7.9000000000000001E-4</v>
      </c>
    </row>
    <row r="9" spans="1:15" x14ac:dyDescent="0.25">
      <c r="B9">
        <v>57</v>
      </c>
      <c r="C9">
        <v>57</v>
      </c>
      <c r="D9">
        <v>0</v>
      </c>
      <c r="E9">
        <f t="shared" si="0"/>
        <v>0</v>
      </c>
      <c r="F9">
        <v>-7.4300000000000005E-2</v>
      </c>
      <c r="G9">
        <v>9.7999999999999997E-4</v>
      </c>
    </row>
    <row r="10" spans="1:15" x14ac:dyDescent="0.25">
      <c r="B10">
        <v>69</v>
      </c>
      <c r="C10">
        <v>65</v>
      </c>
      <c r="D10">
        <v>4</v>
      </c>
      <c r="E10">
        <f t="shared" si="0"/>
        <v>3.9240000000000004E-2</v>
      </c>
      <c r="F10">
        <v>0.217</v>
      </c>
      <c r="G10">
        <v>5.0000000000000001E-4</v>
      </c>
    </row>
    <row r="11" spans="1:15" x14ac:dyDescent="0.25">
      <c r="B11">
        <v>67</v>
      </c>
      <c r="C11">
        <v>67</v>
      </c>
      <c r="D11">
        <v>0</v>
      </c>
      <c r="E11">
        <f t="shared" si="0"/>
        <v>0</v>
      </c>
      <c r="F11">
        <v>-0.06</v>
      </c>
      <c r="G11">
        <v>6.4000000000000005E-4</v>
      </c>
    </row>
    <row r="12" spans="1:15" x14ac:dyDescent="0.25">
      <c r="B12">
        <v>79</v>
      </c>
      <c r="C12">
        <v>75</v>
      </c>
      <c r="D12">
        <v>4</v>
      </c>
      <c r="E12">
        <f t="shared" si="0"/>
        <v>3.9240000000000004E-2</v>
      </c>
      <c r="F12">
        <v>0.188</v>
      </c>
      <c r="G12">
        <v>5.0000000000000001E-4</v>
      </c>
      <c r="L12" t="s">
        <v>7</v>
      </c>
      <c r="M12" t="s">
        <v>27</v>
      </c>
    </row>
    <row r="13" spans="1:15" x14ac:dyDescent="0.25">
      <c r="B13">
        <v>77</v>
      </c>
      <c r="C13">
        <v>77</v>
      </c>
      <c r="D13">
        <v>0</v>
      </c>
      <c r="E13">
        <f t="shared" si="0"/>
        <v>0</v>
      </c>
      <c r="F13">
        <v>-3.3300000000000003E-2</v>
      </c>
      <c r="G13">
        <v>3.8000000000000002E-4</v>
      </c>
      <c r="L13">
        <f>M5/D2</f>
        <v>7.7966206383446837</v>
      </c>
      <c r="M13">
        <f>M6</f>
        <v>2.0209160198955631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LabTec-I</dc:creator>
  <cp:lastModifiedBy>LabTec-I</cp:lastModifiedBy>
  <dcterms:created xsi:type="dcterms:W3CDTF">2024-03-15T15:25:06Z</dcterms:created>
  <dcterms:modified xsi:type="dcterms:W3CDTF">2024-03-15T17:31:58Z</dcterms:modified>
</cp:coreProperties>
</file>