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I_1\Documents\Alumnos\G3\"/>
    </mc:Choice>
  </mc:AlternateContent>
  <bookViews>
    <workbookView xWindow="0" yWindow="0" windowWidth="21000" windowHeight="11580" activeTab="2"/>
  </bookViews>
  <sheets>
    <sheet name="Apartado A" sheetId="1" r:id="rId1"/>
    <sheet name="APARTADO b" sheetId="2" r:id="rId2"/>
    <sheet name="Apartado 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" i="2" l="1" a="1"/>
  <c r="J21" i="2" s="1"/>
  <c r="J15" i="2" a="1"/>
  <c r="J15" i="2" s="1"/>
  <c r="J9" i="2" a="1"/>
  <c r="J9" i="2" s="1"/>
  <c r="J3" i="2" a="1"/>
  <c r="J3" i="2"/>
  <c r="K3" i="2"/>
  <c r="J4" i="2"/>
  <c r="K4" i="2"/>
  <c r="J5" i="2"/>
  <c r="K5" i="2"/>
  <c r="B10" i="1" a="1"/>
  <c r="B10" i="1" s="1"/>
  <c r="E2" i="1" s="1"/>
  <c r="D5" i="1"/>
  <c r="D3" i="1"/>
  <c r="D4" i="1"/>
  <c r="D2" i="1"/>
  <c r="K22" i="2" l="1"/>
  <c r="J22" i="2"/>
  <c r="K23" i="2"/>
  <c r="K21" i="2"/>
  <c r="J23" i="2"/>
  <c r="K16" i="2"/>
  <c r="J16" i="2"/>
  <c r="K17" i="2"/>
  <c r="K15" i="2"/>
  <c r="J17" i="2"/>
  <c r="K10" i="2"/>
  <c r="J10" i="2"/>
  <c r="K11" i="2"/>
  <c r="K9" i="2"/>
  <c r="J11" i="2"/>
  <c r="B11" i="1"/>
  <c r="F2" i="1" s="1"/>
  <c r="C12" i="1"/>
  <c r="C10" i="1"/>
  <c r="C11" i="1"/>
  <c r="B12" i="1"/>
</calcChain>
</file>

<file path=xl/sharedStrings.xml><?xml version="1.0" encoding="utf-8"?>
<sst xmlns="http://schemas.openxmlformats.org/spreadsheetml/2006/main" count="28" uniqueCount="24">
  <si>
    <t>MEDIDAS</t>
  </si>
  <si>
    <t>LONGITUD(CM)</t>
  </si>
  <si>
    <t>Frecuencia (hz)</t>
  </si>
  <si>
    <t>Pendiente</t>
  </si>
  <si>
    <t>R^2</t>
  </si>
  <si>
    <t>ORDENADA EN EL ORIGEN</t>
  </si>
  <si>
    <t>V(cm/s)</t>
  </si>
  <si>
    <t>1/L (cm^-1)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</si>
  <si>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V (cm/s)</t>
    </r>
  </si>
  <si>
    <r>
      <rPr>
        <sz val="11"/>
        <color theme="1"/>
        <rFont val="Calibri"/>
        <family val="2"/>
      </rPr>
      <t xml:space="preserve">δ </t>
    </r>
    <r>
      <rPr>
        <sz val="11"/>
        <color theme="1"/>
        <rFont val="Calibri"/>
        <family val="2"/>
        <scheme val="minor"/>
      </rPr>
      <t xml:space="preserve">ordenada origen 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</si>
  <si>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 xml:space="preserve"> pendiente</t>
    </r>
  </si>
  <si>
    <t>Medidas</t>
  </si>
  <si>
    <t>Peso (N)</t>
  </si>
  <si>
    <t>Longitud(cm)</t>
  </si>
  <si>
    <t>Número antinodos</t>
  </si>
  <si>
    <t>f Antinodo 1 (Hz)</t>
  </si>
  <si>
    <t>f Antinodo 2 (Hz)</t>
  </si>
  <si>
    <t>f Antinodo 3 (Hz)</t>
  </si>
  <si>
    <t>f Antinodo 4 (Hz)</t>
  </si>
  <si>
    <t>f Antinodo 5 (Hz)</t>
  </si>
  <si>
    <t>pendiente 1</t>
  </si>
  <si>
    <t>pendiente 2</t>
  </si>
  <si>
    <t>pendiente 3</t>
  </si>
  <si>
    <t>pendiente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</si>
</sst>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0.00000"/>
    <numFmt numFmtId="169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7" fontId="0" fillId="0" borderId="2" xfId="0" applyNumberFormat="1" applyBorder="1"/>
    <xf numFmtId="169" fontId="0" fillId="0" borderId="3" xfId="0" applyNumberFormat="1" applyBorder="1"/>
    <xf numFmtId="167" fontId="0" fillId="0" borderId="4" xfId="0" applyNumberFormat="1" applyBorder="1"/>
    <xf numFmtId="169" fontId="0" fillId="0" borderId="5" xfId="0" applyNumberFormat="1" applyBorder="1"/>
    <xf numFmtId="2" fontId="0" fillId="0" borderId="6" xfId="0" applyNumberFormat="1" applyBorder="1"/>
    <xf numFmtId="169" fontId="0" fillId="0" borderId="8" xfId="0" applyNumberFormat="1" applyBorder="1"/>
    <xf numFmtId="167" fontId="0" fillId="0" borderId="0" xfId="0" applyNumberFormat="1" applyBorder="1"/>
    <xf numFmtId="167" fontId="0" fillId="0" borderId="5" xfId="0" applyNumberFormat="1" applyBorder="1"/>
    <xf numFmtId="0" fontId="0" fillId="0" borderId="1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 frente 1/L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'Apartado A'!$D$2:$D$5</c:f>
              <c:numCache>
                <c:formatCode>General</c:formatCode>
                <c:ptCount val="4"/>
                <c:pt idx="0">
                  <c:v>7.6045627376425855E-3</c:v>
                </c:pt>
                <c:pt idx="1">
                  <c:v>9.3896713615023476E-3</c:v>
                </c:pt>
                <c:pt idx="2">
                  <c:v>1.2500000000000001E-2</c:v>
                </c:pt>
                <c:pt idx="3">
                  <c:v>1.4814814814814815E-2</c:v>
                </c:pt>
              </c:numCache>
            </c:numRef>
          </c:xVal>
          <c:yVal>
            <c:numRef>
              <c:f>'Apartado A'!$C$2:$C$5</c:f>
              <c:numCache>
                <c:formatCode>General</c:formatCode>
                <c:ptCount val="4"/>
                <c:pt idx="0">
                  <c:v>20.8</c:v>
                </c:pt>
                <c:pt idx="1">
                  <c:v>24.47</c:v>
                </c:pt>
                <c:pt idx="2">
                  <c:v>30.53</c:v>
                </c:pt>
                <c:pt idx="3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6C-4081-9A10-3E864F498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877048"/>
        <c:axId val="401878360"/>
      </c:scatterChart>
      <c:valAx>
        <c:axId val="401877048"/>
        <c:scaling>
          <c:orientation val="minMax"/>
          <c:min val="7.0000000000000019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1/L (cm^-1)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1878360"/>
        <c:crosses val="autoZero"/>
        <c:crossBetween val="midCat"/>
      </c:valAx>
      <c:valAx>
        <c:axId val="401878360"/>
        <c:scaling>
          <c:orientation val="minMax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 (hz)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0187704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 frente número de antinodos</a:t>
            </a:r>
          </a:p>
        </c:rich>
      </c:tx>
      <c:layout>
        <c:manualLayout>
          <c:xMode val="edge"/>
          <c:yMode val="edge"/>
          <c:x val="0.32674650698602792"/>
          <c:y val="2.18068535825545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 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58656953595087"/>
                  <c:y val="8.4161298019565733E-2"/>
                </c:manualLayout>
              </c:layout>
              <c:numFmt formatCode="General" sourceLinked="0"/>
              <c:spPr>
                <a:noFill/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'APARTADO b'!$A$9:$A$13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'APARTADO b'!$C$2:$G$2</c:f>
              <c:numCache>
                <c:formatCode>General</c:formatCode>
                <c:ptCount val="5"/>
                <c:pt idx="0">
                  <c:v>22.5</c:v>
                </c:pt>
                <c:pt idx="1">
                  <c:v>48.3</c:v>
                </c:pt>
                <c:pt idx="2">
                  <c:v>69.5</c:v>
                </c:pt>
                <c:pt idx="3">
                  <c:v>92.4</c:v>
                </c:pt>
                <c:pt idx="4">
                  <c:v>115.9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71-475D-93C7-A021554EED0D}"/>
            </c:ext>
          </c:extLst>
        </c:ser>
        <c:ser>
          <c:idx val="1"/>
          <c:order val="1"/>
          <c:tx>
            <c:v>7 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602103308515"/>
                  <c:y val="-3.5359367957793153E-2"/>
                </c:manualLayout>
              </c:layout>
              <c:numFmt formatCode="General" sourceLinked="0"/>
              <c:spPr>
                <a:noFill/>
                <a:ln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'APARTADO b'!$A$9:$A$13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'APARTADO b'!$C$3:$F$3</c:f>
              <c:numCache>
                <c:formatCode>General</c:formatCode>
                <c:ptCount val="4"/>
                <c:pt idx="0">
                  <c:v>28.4</c:v>
                </c:pt>
                <c:pt idx="1">
                  <c:v>63.2</c:v>
                </c:pt>
                <c:pt idx="2">
                  <c:v>91.9</c:v>
                </c:pt>
                <c:pt idx="3">
                  <c:v>120.1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71-475D-93C7-A021554EED0D}"/>
            </c:ext>
          </c:extLst>
        </c:ser>
        <c:ser>
          <c:idx val="2"/>
          <c:order val="2"/>
          <c:tx>
            <c:v>10 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341332333458317"/>
                  <c:y val="-2.6836342426893624E-2"/>
                </c:manualLayout>
              </c:layout>
              <c:numFmt formatCode="General" sourceLinked="0"/>
              <c:spPr>
                <a:noFill/>
                <a:ln>
                  <a:solidFill>
                    <a:schemeClr val="bg1">
                      <a:lumMod val="6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'APARTADO b'!$A$9:$A$13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'APARTADO b'!$C$4:$F$4</c:f>
              <c:numCache>
                <c:formatCode>General</c:formatCode>
                <c:ptCount val="4"/>
                <c:pt idx="0">
                  <c:v>32.799999999999997</c:v>
                </c:pt>
                <c:pt idx="1">
                  <c:v>75</c:v>
                </c:pt>
                <c:pt idx="2">
                  <c:v>104.7</c:v>
                </c:pt>
                <c:pt idx="3">
                  <c:v>145.80000000000001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71-475D-93C7-A021554EED0D}"/>
            </c:ext>
          </c:extLst>
        </c:ser>
        <c:ser>
          <c:idx val="3"/>
          <c:order val="3"/>
          <c:tx>
            <c:v>11 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430285500026785E-3"/>
                  <c:y val="-3.734006734006734E-2"/>
                </c:manualLayout>
              </c:layout>
              <c:numFmt formatCode="General" sourceLinked="0"/>
              <c:spPr>
                <a:noFill/>
                <a:ln>
                  <a:solidFill>
                    <a:schemeClr val="accent4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'APARTADO b'!$A$9:$A$13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'APARTADO b'!$C$5:$F$5</c:f>
              <c:numCache>
                <c:formatCode>General</c:formatCode>
                <c:ptCount val="4"/>
                <c:pt idx="0">
                  <c:v>33.9</c:v>
                </c:pt>
                <c:pt idx="1">
                  <c:v>78.8</c:v>
                </c:pt>
                <c:pt idx="2">
                  <c:v>111.3</c:v>
                </c:pt>
                <c:pt idx="3">
                  <c:v>151.4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71-475D-93C7-A021554EE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954928"/>
        <c:axId val="475953616"/>
      </c:scatterChart>
      <c:valAx>
        <c:axId val="47595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número de antinodos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5953616"/>
        <c:crosses val="autoZero"/>
        <c:crossBetween val="midCat"/>
      </c:valAx>
      <c:valAx>
        <c:axId val="47595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 ç(hz)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75954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8</xdr:row>
      <xdr:rowOff>19050</xdr:rowOff>
    </xdr:from>
    <xdr:to>
      <xdr:col>10</xdr:col>
      <xdr:colOff>9525</xdr:colOff>
      <xdr:row>22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9</xdr:row>
      <xdr:rowOff>9525</xdr:rowOff>
    </xdr:from>
    <xdr:to>
      <xdr:col>8</xdr:col>
      <xdr:colOff>685800</xdr:colOff>
      <xdr:row>30</xdr:row>
      <xdr:rowOff>85725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B10" sqref="B10:C12"/>
    </sheetView>
  </sheetViews>
  <sheetFormatPr baseColWidth="10" defaultRowHeight="15" x14ac:dyDescent="0.25"/>
  <cols>
    <col min="1" max="1" width="19.140625" customWidth="1"/>
    <col min="2" max="3" width="15" customWidth="1"/>
    <col min="4" max="4" width="26.85546875" customWidth="1"/>
    <col min="5" max="5" width="11.42578125" customWidth="1"/>
    <col min="6" max="6" width="16.28515625" customWidth="1"/>
  </cols>
  <sheetData>
    <row r="1" spans="1:6" ht="15.75" thickBot="1" x14ac:dyDescent="0.3">
      <c r="A1" s="7" t="s">
        <v>0</v>
      </c>
      <c r="B1" s="8" t="s">
        <v>1</v>
      </c>
      <c r="C1" s="8" t="s">
        <v>2</v>
      </c>
      <c r="D1" s="17" t="s">
        <v>7</v>
      </c>
      <c r="E1" s="17" t="s">
        <v>6</v>
      </c>
      <c r="F1" s="18" t="s">
        <v>8</v>
      </c>
    </row>
    <row r="2" spans="1:6" x14ac:dyDescent="0.25">
      <c r="A2" s="1">
        <v>1</v>
      </c>
      <c r="B2" s="2">
        <v>131.5</v>
      </c>
      <c r="C2" s="2">
        <v>20.8</v>
      </c>
      <c r="D2" s="2">
        <f>1/B2</f>
        <v>7.6045627376425855E-3</v>
      </c>
      <c r="E2" s="15">
        <f>2*B10</f>
        <v>3204.4419238778705</v>
      </c>
      <c r="F2" s="16">
        <f>B11*2</f>
        <v>438.08532102646512</v>
      </c>
    </row>
    <row r="3" spans="1:6" x14ac:dyDescent="0.25">
      <c r="A3" s="1">
        <v>2</v>
      </c>
      <c r="B3" s="2">
        <v>106.5</v>
      </c>
      <c r="C3" s="2">
        <v>24.47</v>
      </c>
      <c r="D3" s="2">
        <f t="shared" ref="D3:D5" si="0">1/B3</f>
        <v>9.3896713615023476E-3</v>
      </c>
      <c r="E3" s="2"/>
      <c r="F3" s="3"/>
    </row>
    <row r="4" spans="1:6" x14ac:dyDescent="0.25">
      <c r="A4" s="1">
        <v>3</v>
      </c>
      <c r="B4" s="2">
        <v>80</v>
      </c>
      <c r="C4" s="2">
        <v>30.53</v>
      </c>
      <c r="D4" s="2">
        <f t="shared" si="0"/>
        <v>1.2500000000000001E-2</v>
      </c>
      <c r="E4" s="2"/>
      <c r="F4" s="3"/>
    </row>
    <row r="5" spans="1:6" ht="15.75" thickBot="1" x14ac:dyDescent="0.3">
      <c r="A5" s="4">
        <v>4</v>
      </c>
      <c r="B5" s="5">
        <v>67.5</v>
      </c>
      <c r="C5" s="5">
        <v>32</v>
      </c>
      <c r="D5" s="5">
        <f>1/B5</f>
        <v>1.4814814814814815E-2</v>
      </c>
      <c r="E5" s="5"/>
      <c r="F5" s="6"/>
    </row>
    <row r="9" spans="1:6" ht="15.75" thickBot="1" x14ac:dyDescent="0.3"/>
    <row r="10" spans="1:6" x14ac:dyDescent="0.25">
      <c r="A10" t="s">
        <v>3</v>
      </c>
      <c r="B10" s="9">
        <f t="array" ref="B10:C12">LINEST(C2:C5,D2:D5,1,1)</f>
        <v>1602.2209619389353</v>
      </c>
      <c r="C10" s="10">
        <v>9.2017782566190185</v>
      </c>
      <c r="D10" t="s">
        <v>5</v>
      </c>
    </row>
    <row r="11" spans="1:6" x14ac:dyDescent="0.25">
      <c r="A11" t="s">
        <v>10</v>
      </c>
      <c r="B11" s="11">
        <v>219.04266051323256</v>
      </c>
      <c r="C11" s="12">
        <v>2.5016072952438435</v>
      </c>
      <c r="D11" t="s">
        <v>9</v>
      </c>
    </row>
    <row r="12" spans="1:6" ht="15.75" thickBot="1" x14ac:dyDescent="0.3">
      <c r="A12" t="s">
        <v>4</v>
      </c>
      <c r="B12" s="13">
        <v>0.9639666533967538</v>
      </c>
      <c r="C12" s="14">
        <v>1.2176306812833297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J3" sqref="J3"/>
    </sheetView>
  </sheetViews>
  <sheetFormatPr baseColWidth="10" defaultColWidth="15.140625" defaultRowHeight="15" x14ac:dyDescent="0.25"/>
  <sheetData>
    <row r="1" spans="1:11" x14ac:dyDescent="0.25">
      <c r="A1" t="s">
        <v>11</v>
      </c>
      <c r="B1" t="s">
        <v>12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13</v>
      </c>
    </row>
    <row r="2" spans="1:11" x14ac:dyDescent="0.25">
      <c r="A2">
        <v>1</v>
      </c>
      <c r="B2">
        <v>4</v>
      </c>
      <c r="C2">
        <v>22.5</v>
      </c>
      <c r="D2">
        <v>48.3</v>
      </c>
      <c r="E2">
        <v>69.5</v>
      </c>
      <c r="F2">
        <v>92.4</v>
      </c>
      <c r="G2">
        <v>115.9</v>
      </c>
      <c r="H2">
        <v>106.5</v>
      </c>
      <c r="J2" t="s">
        <v>20</v>
      </c>
    </row>
    <row r="3" spans="1:11" x14ac:dyDescent="0.25">
      <c r="A3">
        <v>2</v>
      </c>
      <c r="B3">
        <v>7</v>
      </c>
      <c r="C3">
        <v>28.4</v>
      </c>
      <c r="D3">
        <v>63.2</v>
      </c>
      <c r="E3">
        <v>91.9</v>
      </c>
      <c r="F3">
        <v>120.1</v>
      </c>
      <c r="H3">
        <v>106.5</v>
      </c>
      <c r="J3">
        <f t="array" ref="J3:K5">LINEST(C2:G2,B8:F8,1,1)</f>
        <v>23.09</v>
      </c>
      <c r="K3">
        <v>0.45000000000000284</v>
      </c>
    </row>
    <row r="4" spans="1:11" x14ac:dyDescent="0.25">
      <c r="A4">
        <v>3</v>
      </c>
      <c r="B4">
        <v>10</v>
      </c>
      <c r="C4">
        <v>32.799999999999997</v>
      </c>
      <c r="D4">
        <v>75</v>
      </c>
      <c r="E4">
        <v>104.7</v>
      </c>
      <c r="F4">
        <v>145.80000000000001</v>
      </c>
      <c r="H4">
        <v>106.5</v>
      </c>
      <c r="J4">
        <v>0.36909799963334067</v>
      </c>
      <c r="K4">
        <v>1.2241595756545258</v>
      </c>
    </row>
    <row r="5" spans="1:11" x14ac:dyDescent="0.25">
      <c r="A5">
        <v>4</v>
      </c>
      <c r="B5">
        <v>11</v>
      </c>
      <c r="C5">
        <v>33.9</v>
      </c>
      <c r="D5">
        <v>78.8</v>
      </c>
      <c r="E5">
        <v>111.3</v>
      </c>
      <c r="F5">
        <v>151.4</v>
      </c>
      <c r="H5">
        <v>106.5</v>
      </c>
      <c r="J5">
        <v>0.99923400845045918</v>
      </c>
      <c r="K5">
        <v>1.1671903586533499</v>
      </c>
    </row>
    <row r="8" spans="1:11" x14ac:dyDescent="0.25">
      <c r="A8" t="s">
        <v>14</v>
      </c>
      <c r="B8">
        <v>1</v>
      </c>
      <c r="C8">
        <v>2</v>
      </c>
      <c r="D8">
        <v>3</v>
      </c>
      <c r="E8">
        <v>4</v>
      </c>
      <c r="F8">
        <v>5</v>
      </c>
      <c r="J8" t="s">
        <v>21</v>
      </c>
    </row>
    <row r="9" spans="1:11" x14ac:dyDescent="0.25">
      <c r="A9">
        <v>1</v>
      </c>
      <c r="J9">
        <f t="array" ref="J9:K11">LINEST(C3:F3,B8:E8,1,1)</f>
        <v>30.38</v>
      </c>
      <c r="K9">
        <v>-4.9999999999997158E-2</v>
      </c>
    </row>
    <row r="10" spans="1:11" x14ac:dyDescent="0.25">
      <c r="A10">
        <v>2</v>
      </c>
      <c r="J10">
        <v>1.1161541112230016</v>
      </c>
      <c r="K10">
        <v>3.0567139218448403</v>
      </c>
    </row>
    <row r="11" spans="1:11" x14ac:dyDescent="0.25">
      <c r="A11">
        <v>3</v>
      </c>
      <c r="J11">
        <v>0.99730764742240408</v>
      </c>
      <c r="K11">
        <v>2.4957964660604928</v>
      </c>
    </row>
    <row r="12" spans="1:11" x14ac:dyDescent="0.25">
      <c r="A12">
        <v>4</v>
      </c>
    </row>
    <row r="13" spans="1:11" x14ac:dyDescent="0.25">
      <c r="A13">
        <v>5</v>
      </c>
    </row>
    <row r="14" spans="1:11" x14ac:dyDescent="0.25">
      <c r="J14" t="s">
        <v>22</v>
      </c>
    </row>
    <row r="15" spans="1:11" x14ac:dyDescent="0.25">
      <c r="J15">
        <f t="array" ref="J15:K17">LINEST(C4:F4,B8:E8,1,1)</f>
        <v>36.870000000000005</v>
      </c>
      <c r="K15">
        <v>-2.6000000000000085</v>
      </c>
    </row>
    <row r="16" spans="1:11" x14ac:dyDescent="0.25">
      <c r="J16">
        <v>1.6989114161721326</v>
      </c>
      <c r="K16">
        <v>4.6526605292026195</v>
      </c>
    </row>
    <row r="17" spans="10:11" x14ac:dyDescent="0.25">
      <c r="J17">
        <v>0.99577151408671227</v>
      </c>
      <c r="K17">
        <v>3.7988814143113241</v>
      </c>
    </row>
    <row r="20" spans="10:11" x14ac:dyDescent="0.25">
      <c r="J20" t="s">
        <v>23</v>
      </c>
    </row>
    <row r="21" spans="10:11" x14ac:dyDescent="0.25">
      <c r="J21">
        <f t="array" ref="J21:K23">LINEST(C5:F5,B8:E8,1,1)</f>
        <v>38.500000000000014</v>
      </c>
      <c r="K21">
        <v>-2.4000000000000341</v>
      </c>
    </row>
    <row r="22" spans="10:11" x14ac:dyDescent="0.25">
      <c r="J22">
        <v>1.6049922118191087</v>
      </c>
      <c r="K22">
        <v>4.3954521951671772</v>
      </c>
    </row>
    <row r="23" spans="10:11" x14ac:dyDescent="0.25">
      <c r="J23">
        <v>0.99653624238773375</v>
      </c>
      <c r="K23">
        <v>3.5888716889852685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3" sqref="B3"/>
    </sheetView>
  </sheetViews>
  <sheetFormatPr baseColWidth="10" defaultRowHeight="15" x14ac:dyDescent="0.25"/>
  <sheetData>
    <row r="1" spans="1:2" x14ac:dyDescent="0.25">
      <c r="A1" t="s">
        <v>20</v>
      </c>
      <c r="B1">
        <v>23.09</v>
      </c>
    </row>
    <row r="2" spans="1:2" x14ac:dyDescent="0.25">
      <c r="A2" t="s">
        <v>21</v>
      </c>
      <c r="B2">
        <v>30.38</v>
      </c>
    </row>
    <row r="3" spans="1:2" x14ac:dyDescent="0.25">
      <c r="A3" t="s">
        <v>22</v>
      </c>
    </row>
    <row r="4" spans="1:2" x14ac:dyDescent="0.25">
      <c r="A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Apartado A</vt:lpstr>
      <vt:lpstr>APARTADO b</vt:lpstr>
      <vt:lpstr>Apartado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TEI_1</dc:creator>
  <cp:lastModifiedBy>TEI_1</cp:lastModifiedBy>
  <dcterms:created xsi:type="dcterms:W3CDTF">2024-02-09T16:38:47Z</dcterms:created>
  <dcterms:modified xsi:type="dcterms:W3CDTF">2024-02-09T17:59:43Z</dcterms:modified>
</cp:coreProperties>
</file>