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9065" windowHeight="11100" activeTab="2"/>
  </bookViews>
  <sheets>
    <sheet name="Victormonicabobina1" sheetId="1" r:id="rId1"/>
    <sheet name="Hoja1" sheetId="2" r:id="rId2"/>
    <sheet name="Hoja2" sheetId="3" r:id="rId3"/>
  </sheets>
  <calcPr calcId="162913"/>
</workbook>
</file>

<file path=xl/calcChain.xml><?xml version="1.0" encoding="utf-8"?>
<calcChain xmlns="http://schemas.openxmlformats.org/spreadsheetml/2006/main">
  <c r="M5" i="2" l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4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Q8" i="3"/>
  <c r="H8" i="3"/>
  <c r="H6" i="2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" i="3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" i="2"/>
</calcChain>
</file>

<file path=xl/sharedStrings.xml><?xml version="1.0" encoding="utf-8"?>
<sst xmlns="http://schemas.openxmlformats.org/spreadsheetml/2006/main" count="72" uniqueCount="37">
  <si>
    <t>EXPERIMENTAL</t>
  </si>
  <si>
    <t>TEﾓRICA</t>
  </si>
  <si>
    <t>Pr當tica</t>
  </si>
  <si>
    <t>Teica</t>
  </si>
  <si>
    <t>Uo(mTA^-1cm)</t>
  </si>
  <si>
    <t>a(cm)</t>
  </si>
  <si>
    <t>I(A)</t>
  </si>
  <si>
    <t>1bobina intensida1,5A</t>
  </si>
  <si>
    <t>Serie N.ｺ 1</t>
  </si>
  <si>
    <t>1 bobina intensidad 1A</t>
  </si>
  <si>
    <t>x0</t>
  </si>
  <si>
    <t>B</t>
  </si>
  <si>
    <t>($K$2*$M$2*$L$2*$L$2)/(2*(B6*B6+$L$2*$L$2))^(3/2)</t>
  </si>
  <si>
    <t>Posici (cm)</t>
  </si>
  <si>
    <t>Intensidad de campo magn騁ico (Axial) (mT)</t>
  </si>
  <si>
    <t>x</t>
  </si>
  <si>
    <t>Serie N.º 2</t>
  </si>
  <si>
    <t>Intensidad de campo magnético (Axial) (mT)</t>
  </si>
  <si>
    <t>Posición (cm)</t>
  </si>
  <si>
    <t>Serie N.º 3</t>
  </si>
  <si>
    <t>radio (cm)</t>
  </si>
  <si>
    <t>Serie N.º 4</t>
  </si>
  <si>
    <t>d (cm)</t>
  </si>
  <si>
    <t>1,5 a</t>
  </si>
  <si>
    <t>d</t>
  </si>
  <si>
    <t>0,5 a</t>
  </si>
  <si>
    <t>Serie N.º 5</t>
  </si>
  <si>
    <t>Intensidad corregida</t>
  </si>
  <si>
    <t>Int correg</t>
  </si>
  <si>
    <t>Teórica</t>
  </si>
  <si>
    <t>I corregida</t>
  </si>
  <si>
    <t>d corregida</t>
  </si>
  <si>
    <t>μ0</t>
  </si>
  <si>
    <t>N</t>
  </si>
  <si>
    <t>I</t>
  </si>
  <si>
    <t>Opuestas</t>
  </si>
  <si>
    <t>Paralelas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</si>
</sst>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Victormonicabobina1!$E$1:$E$3</c:f>
              <c:strCache>
                <c:ptCount val="3"/>
                <c:pt idx="0">
                  <c:v>TEﾓRICA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Victormonicabobina1!$D$5:$D$126</c:f>
              <c:numCache>
                <c:formatCode>General</c:formatCode>
                <c:ptCount val="122"/>
                <c:pt idx="0">
                  <c:v>7.5</c:v>
                </c:pt>
                <c:pt idx="1">
                  <c:v>7.5</c:v>
                </c:pt>
                <c:pt idx="2">
                  <c:v>7.4888000000000003</c:v>
                </c:pt>
                <c:pt idx="3">
                  <c:v>7.4175000000000004</c:v>
                </c:pt>
                <c:pt idx="4">
                  <c:v>7.3049999999999997</c:v>
                </c:pt>
                <c:pt idx="5">
                  <c:v>7.2563000000000004</c:v>
                </c:pt>
                <c:pt idx="6">
                  <c:v>7.1962999999999999</c:v>
                </c:pt>
                <c:pt idx="7">
                  <c:v>7.1775000000000002</c:v>
                </c:pt>
                <c:pt idx="8">
                  <c:v>7.0838000000000001</c:v>
                </c:pt>
                <c:pt idx="9">
                  <c:v>6.8925000000000001</c:v>
                </c:pt>
                <c:pt idx="10">
                  <c:v>6.6449999999999996</c:v>
                </c:pt>
                <c:pt idx="11">
                  <c:v>6.48</c:v>
                </c:pt>
                <c:pt idx="12">
                  <c:v>6.1387</c:v>
                </c:pt>
                <c:pt idx="13">
                  <c:v>5.7862</c:v>
                </c:pt>
                <c:pt idx="14">
                  <c:v>5.5461999999999998</c:v>
                </c:pt>
                <c:pt idx="15">
                  <c:v>5.2912999999999997</c:v>
                </c:pt>
                <c:pt idx="16">
                  <c:v>4.9649999999999999</c:v>
                </c:pt>
                <c:pt idx="17">
                  <c:v>4.5263</c:v>
                </c:pt>
                <c:pt idx="18">
                  <c:v>4.0987999999999998</c:v>
                </c:pt>
                <c:pt idx="19">
                  <c:v>3.8325</c:v>
                </c:pt>
                <c:pt idx="20">
                  <c:v>3.5512999999999999</c:v>
                </c:pt>
                <c:pt idx="21">
                  <c:v>3.03</c:v>
                </c:pt>
                <c:pt idx="22">
                  <c:v>2.2275</c:v>
                </c:pt>
                <c:pt idx="23">
                  <c:v>1.5113000000000001</c:v>
                </c:pt>
                <c:pt idx="24">
                  <c:v>1.1625000000000001</c:v>
                </c:pt>
                <c:pt idx="25">
                  <c:v>0.75</c:v>
                </c:pt>
                <c:pt idx="26">
                  <c:v>0.28870000000000001</c:v>
                </c:pt>
                <c:pt idx="27">
                  <c:v>-7.8799999999999995E-2</c:v>
                </c:pt>
                <c:pt idx="28">
                  <c:v>-0.43880000000000002</c:v>
                </c:pt>
                <c:pt idx="29">
                  <c:v>-0.90380000000000005</c:v>
                </c:pt>
                <c:pt idx="30">
                  <c:v>-1.4887999999999999</c:v>
                </c:pt>
                <c:pt idx="31">
                  <c:v>-1.9987999999999999</c:v>
                </c:pt>
                <c:pt idx="32">
                  <c:v>-2.4824999999999999</c:v>
                </c:pt>
                <c:pt idx="33">
                  <c:v>-2.8462000000000001</c:v>
                </c:pt>
                <c:pt idx="34">
                  <c:v>-3.0787</c:v>
                </c:pt>
                <c:pt idx="35">
                  <c:v>-3.3187000000000002</c:v>
                </c:pt>
                <c:pt idx="36">
                  <c:v>-3.51</c:v>
                </c:pt>
                <c:pt idx="37">
                  <c:v>-3.7837000000000001</c:v>
                </c:pt>
                <c:pt idx="38">
                  <c:v>-4.1849999999999996</c:v>
                </c:pt>
                <c:pt idx="39">
                  <c:v>-4.5038</c:v>
                </c:pt>
                <c:pt idx="40">
                  <c:v>-4.9386999999999999</c:v>
                </c:pt>
                <c:pt idx="41">
                  <c:v>-5.31</c:v>
                </c:pt>
                <c:pt idx="42">
                  <c:v>-5.5724999999999998</c:v>
                </c:pt>
                <c:pt idx="43">
                  <c:v>-5.9138000000000002</c:v>
                </c:pt>
                <c:pt idx="44">
                  <c:v>-6.2024999999999997</c:v>
                </c:pt>
                <c:pt idx="45">
                  <c:v>-6.42</c:v>
                </c:pt>
                <c:pt idx="46">
                  <c:v>-6.7237</c:v>
                </c:pt>
                <c:pt idx="47">
                  <c:v>-6.99</c:v>
                </c:pt>
                <c:pt idx="48">
                  <c:v>-7.3312999999999997</c:v>
                </c:pt>
                <c:pt idx="49">
                  <c:v>-8.0175000000000001</c:v>
                </c:pt>
                <c:pt idx="50">
                  <c:v>-8.5312999999999999</c:v>
                </c:pt>
                <c:pt idx="51">
                  <c:v>-8.8800000000000008</c:v>
                </c:pt>
                <c:pt idx="52">
                  <c:v>-9.2624999999999993</c:v>
                </c:pt>
                <c:pt idx="53">
                  <c:v>-9.7050000000000001</c:v>
                </c:pt>
                <c:pt idx="54">
                  <c:v>-10.02</c:v>
                </c:pt>
                <c:pt idx="55">
                  <c:v>-10.282500000000001</c:v>
                </c:pt>
                <c:pt idx="56">
                  <c:v>-10.605</c:v>
                </c:pt>
                <c:pt idx="57">
                  <c:v>-11.0588</c:v>
                </c:pt>
                <c:pt idx="58">
                  <c:v>-11.827500000000001</c:v>
                </c:pt>
                <c:pt idx="59">
                  <c:v>-12.8063</c:v>
                </c:pt>
                <c:pt idx="60">
                  <c:v>-13.7325</c:v>
                </c:pt>
                <c:pt idx="61">
                  <c:v>-14.407500000000001</c:v>
                </c:pt>
                <c:pt idx="62">
                  <c:v>-15.0488</c:v>
                </c:pt>
                <c:pt idx="63">
                  <c:v>-15.5625</c:v>
                </c:pt>
                <c:pt idx="64">
                  <c:v>-15.952500000000001</c:v>
                </c:pt>
                <c:pt idx="65">
                  <c:v>-16.267499999999998</c:v>
                </c:pt>
                <c:pt idx="66">
                  <c:v>-16.6538</c:v>
                </c:pt>
                <c:pt idx="67">
                  <c:v>-17.141300000000001</c:v>
                </c:pt>
                <c:pt idx="68">
                  <c:v>-17.456299999999999</c:v>
                </c:pt>
                <c:pt idx="69">
                  <c:v>-17.64</c:v>
                </c:pt>
                <c:pt idx="70">
                  <c:v>-17.876300000000001</c:v>
                </c:pt>
                <c:pt idx="71">
                  <c:v>-18.12</c:v>
                </c:pt>
                <c:pt idx="72">
                  <c:v>-18.258700000000001</c:v>
                </c:pt>
                <c:pt idx="73">
                  <c:v>-18.4725</c:v>
                </c:pt>
                <c:pt idx="74">
                  <c:v>-18.8325</c:v>
                </c:pt>
                <c:pt idx="75">
                  <c:v>-19.046299999999999</c:v>
                </c:pt>
                <c:pt idx="76">
                  <c:v>-19.421299999999999</c:v>
                </c:pt>
                <c:pt idx="77">
                  <c:v>-20.212499999999999</c:v>
                </c:pt>
                <c:pt idx="78">
                  <c:v>-21.086200000000002</c:v>
                </c:pt>
                <c:pt idx="79">
                  <c:v>-22.2562</c:v>
                </c:pt>
                <c:pt idx="80">
                  <c:v>-23.426200000000001</c:v>
                </c:pt>
                <c:pt idx="81">
                  <c:v>-24.344999999999999</c:v>
                </c:pt>
                <c:pt idx="82">
                  <c:v>-25.267499999999998</c:v>
                </c:pt>
                <c:pt idx="83">
                  <c:v>-26.231200000000001</c:v>
                </c:pt>
                <c:pt idx="84">
                  <c:v>-27.127500000000001</c:v>
                </c:pt>
                <c:pt idx="85">
                  <c:v>-27.686199999999999</c:v>
                </c:pt>
                <c:pt idx="86">
                  <c:v>-27.967500000000001</c:v>
                </c:pt>
                <c:pt idx="87">
                  <c:v>-28.113700000000001</c:v>
                </c:pt>
                <c:pt idx="88">
                  <c:v>-28.335000000000001</c:v>
                </c:pt>
                <c:pt idx="89">
                  <c:v>-28.623699999999999</c:v>
                </c:pt>
                <c:pt idx="90">
                  <c:v>-28.8675</c:v>
                </c:pt>
                <c:pt idx="91">
                  <c:v>-29.137499999999999</c:v>
                </c:pt>
                <c:pt idx="92">
                  <c:v>-29.4787</c:v>
                </c:pt>
                <c:pt idx="93">
                  <c:v>-29.79</c:v>
                </c:pt>
                <c:pt idx="94">
                  <c:v>-30.093699999999998</c:v>
                </c:pt>
                <c:pt idx="95">
                  <c:v>-30.434999999999999</c:v>
                </c:pt>
                <c:pt idx="96">
                  <c:v>-30.81</c:v>
                </c:pt>
                <c:pt idx="97">
                  <c:v>-31.1737</c:v>
                </c:pt>
                <c:pt idx="98">
                  <c:v>-31.488700000000001</c:v>
                </c:pt>
                <c:pt idx="99">
                  <c:v>-31.89</c:v>
                </c:pt>
                <c:pt idx="100">
                  <c:v>-32.227499999999999</c:v>
                </c:pt>
                <c:pt idx="101">
                  <c:v>-32.493699999999997</c:v>
                </c:pt>
                <c:pt idx="102">
                  <c:v>-32.715000000000003</c:v>
                </c:pt>
                <c:pt idx="103">
                  <c:v>-32.932499999999997</c:v>
                </c:pt>
                <c:pt idx="104">
                  <c:v>-33.14</c:v>
                </c:pt>
                <c:pt idx="105">
                  <c:v>-33.668700000000001</c:v>
                </c:pt>
                <c:pt idx="106">
                  <c:v>-34.137500000000003</c:v>
                </c:pt>
                <c:pt idx="107">
                  <c:v>-34.231200000000001</c:v>
                </c:pt>
                <c:pt idx="108">
                  <c:v>-34.414999999999999</c:v>
                </c:pt>
                <c:pt idx="109">
                  <c:v>-34.591200000000001</c:v>
                </c:pt>
                <c:pt idx="110">
                  <c:v>-34.774999999999999</c:v>
                </c:pt>
                <c:pt idx="111">
                  <c:v>-34.9512</c:v>
                </c:pt>
                <c:pt idx="112">
                  <c:v>-34.973700000000001</c:v>
                </c:pt>
                <c:pt idx="113">
                  <c:v>-34.962499999999999</c:v>
                </c:pt>
                <c:pt idx="114">
                  <c:v>-34.97</c:v>
                </c:pt>
                <c:pt idx="115">
                  <c:v>-34.9587</c:v>
                </c:pt>
                <c:pt idx="116">
                  <c:v>-34.9512</c:v>
                </c:pt>
                <c:pt idx="117">
                  <c:v>-34.913699999999999</c:v>
                </c:pt>
                <c:pt idx="118">
                  <c:v>-34.909999999999997</c:v>
                </c:pt>
                <c:pt idx="119">
                  <c:v>-34.906199999999998</c:v>
                </c:pt>
                <c:pt idx="120">
                  <c:v>-34.906199999999998</c:v>
                </c:pt>
              </c:numCache>
            </c:numRef>
          </c:xVal>
          <c:yVal>
            <c:numRef>
              <c:f>Victormonicabobina1!$E$5:$E$126</c:f>
              <c:numCache>
                <c:formatCode>General</c:formatCode>
                <c:ptCount val="122"/>
                <c:pt idx="0">
                  <c:v>-2.4159160100000001</c:v>
                </c:pt>
                <c:pt idx="1">
                  <c:v>-2.4159160100000001</c:v>
                </c:pt>
                <c:pt idx="2">
                  <c:v>-2.4197163330000002</c:v>
                </c:pt>
                <c:pt idx="3">
                  <c:v>-2.4440092729999998</c:v>
                </c:pt>
                <c:pt idx="4">
                  <c:v>-2.4826863910000001</c:v>
                </c:pt>
                <c:pt idx="5">
                  <c:v>-2.4995589470000001</c:v>
                </c:pt>
                <c:pt idx="6">
                  <c:v>-2.52045254</c:v>
                </c:pt>
                <c:pt idx="7">
                  <c:v>-2.5270230570000001</c:v>
                </c:pt>
                <c:pt idx="8">
                  <c:v>-2.559938238</c:v>
                </c:pt>
                <c:pt idx="9">
                  <c:v>-2.6279818860000002</c:v>
                </c:pt>
                <c:pt idx="10">
                  <c:v>-2.71760694</c:v>
                </c:pt>
                <c:pt idx="11">
                  <c:v>-2.7782835220000002</c:v>
                </c:pt>
                <c:pt idx="12">
                  <c:v>-2.905882428</c:v>
                </c:pt>
                <c:pt idx="13">
                  <c:v>-3.040130011</c:v>
                </c:pt>
                <c:pt idx="14">
                  <c:v>-3.1326005559999999</c:v>
                </c:pt>
                <c:pt idx="15">
                  <c:v>-3.2314227720000002</c:v>
                </c:pt>
                <c:pt idx="16">
                  <c:v>-3.3582890459999999</c:v>
                </c:pt>
                <c:pt idx="17">
                  <c:v>-3.5281264160000001</c:v>
                </c:pt>
                <c:pt idx="18">
                  <c:v>-3.690834148</c:v>
                </c:pt>
                <c:pt idx="19">
                  <c:v>-3.789757652</c:v>
                </c:pt>
                <c:pt idx="20">
                  <c:v>-3.8913893850000001</c:v>
                </c:pt>
                <c:pt idx="21">
                  <c:v>-4.0695985610000003</c:v>
                </c:pt>
                <c:pt idx="22">
                  <c:v>-4.308154128</c:v>
                </c:pt>
                <c:pt idx="23">
                  <c:v>-4.4719232929999997</c:v>
                </c:pt>
                <c:pt idx="24">
                  <c:v>-4.5314133119999997</c:v>
                </c:pt>
                <c:pt idx="25">
                  <c:v>-4.582773349</c:v>
                </c:pt>
                <c:pt idx="26">
                  <c:v>-4.614443058</c:v>
                </c:pt>
                <c:pt idx="27">
                  <c:v>-4.6195756240000003</c:v>
                </c:pt>
                <c:pt idx="28">
                  <c:v>-4.607193573</c:v>
                </c:pt>
                <c:pt idx="29">
                  <c:v>-4.5661086080000004</c:v>
                </c:pt>
                <c:pt idx="30">
                  <c:v>-4.4761853299999999</c:v>
                </c:pt>
                <c:pt idx="31">
                  <c:v>-4.3660986700000004</c:v>
                </c:pt>
                <c:pt idx="32">
                  <c:v>-4.237917468</c:v>
                </c:pt>
                <c:pt idx="33">
                  <c:v>-4.1285322750000004</c:v>
                </c:pt>
                <c:pt idx="34">
                  <c:v>-4.0536114650000004</c:v>
                </c:pt>
                <c:pt idx="35">
                  <c:v>-3.9727404850000001</c:v>
                </c:pt>
                <c:pt idx="36">
                  <c:v>-3.9060279499999999</c:v>
                </c:pt>
                <c:pt idx="37">
                  <c:v>-3.807622931</c:v>
                </c:pt>
                <c:pt idx="38">
                  <c:v>-3.6583595560000002</c:v>
                </c:pt>
                <c:pt idx="39">
                  <c:v>-3.5367787260000001</c:v>
                </c:pt>
                <c:pt idx="40">
                  <c:v>-3.3685105210000001</c:v>
                </c:pt>
                <c:pt idx="41">
                  <c:v>-3.2241588210000001</c:v>
                </c:pt>
                <c:pt idx="42">
                  <c:v>-3.1224348210000001</c:v>
                </c:pt>
                <c:pt idx="43">
                  <c:v>-2.9912878630000002</c:v>
                </c:pt>
                <c:pt idx="44">
                  <c:v>-2.881833366</c:v>
                </c:pt>
                <c:pt idx="45">
                  <c:v>-2.8005192390000002</c:v>
                </c:pt>
                <c:pt idx="46">
                  <c:v>-2.6889212090000001</c:v>
                </c:pt>
                <c:pt idx="47">
                  <c:v>-2.5931630280000002</c:v>
                </c:pt>
                <c:pt idx="48">
                  <c:v>-2.473606905</c:v>
                </c:pt>
                <c:pt idx="49">
                  <c:v>-2.2451052539999998</c:v>
                </c:pt>
                <c:pt idx="50">
                  <c:v>-2.085129582</c:v>
                </c:pt>
                <c:pt idx="51">
                  <c:v>-1.982169837</c:v>
                </c:pt>
                <c:pt idx="52">
                  <c:v>-1.874479947</c:v>
                </c:pt>
                <c:pt idx="53">
                  <c:v>-1.7566982980000001</c:v>
                </c:pt>
                <c:pt idx="54">
                  <c:v>-1.6772252510000001</c:v>
                </c:pt>
                <c:pt idx="55">
                  <c:v>-1.6137156459999999</c:v>
                </c:pt>
                <c:pt idx="56">
                  <c:v>-1.5389924719999999</c:v>
                </c:pt>
                <c:pt idx="57">
                  <c:v>-1.439819255</c:v>
                </c:pt>
                <c:pt idx="58">
                  <c:v>-1.2868985230000001</c:v>
                </c:pt>
                <c:pt idx="59">
                  <c:v>-1.1172203919999999</c:v>
                </c:pt>
                <c:pt idx="60">
                  <c:v>-0.97944939399999997</c:v>
                </c:pt>
                <c:pt idx="61">
                  <c:v>-0.891275021</c:v>
                </c:pt>
                <c:pt idx="62">
                  <c:v>-0.81596532099999997</c:v>
                </c:pt>
                <c:pt idx="63">
                  <c:v>-0.76101249199999998</c:v>
                </c:pt>
                <c:pt idx="64">
                  <c:v>-0.722216313</c:v>
                </c:pt>
                <c:pt idx="65">
                  <c:v>-0.69259926599999999</c:v>
                </c:pt>
                <c:pt idx="66">
                  <c:v>-0.65824737799999999</c:v>
                </c:pt>
                <c:pt idx="67">
                  <c:v>-0.61778767099999998</c:v>
                </c:pt>
                <c:pt idx="68">
                  <c:v>-0.59324631500000002</c:v>
                </c:pt>
                <c:pt idx="69">
                  <c:v>-0.57948259499999999</c:v>
                </c:pt>
                <c:pt idx="70">
                  <c:v>-0.56234691400000003</c:v>
                </c:pt>
                <c:pt idx="71">
                  <c:v>-0.54532011400000002</c:v>
                </c:pt>
                <c:pt idx="72">
                  <c:v>-0.53591181700000001</c:v>
                </c:pt>
                <c:pt idx="73">
                  <c:v>-0.52179697599999997</c:v>
                </c:pt>
                <c:pt idx="74">
                  <c:v>-0.49904995899999999</c:v>
                </c:pt>
                <c:pt idx="75">
                  <c:v>-0.48611950799999998</c:v>
                </c:pt>
                <c:pt idx="76">
                  <c:v>-0.46442612300000002</c:v>
                </c:pt>
                <c:pt idx="77">
                  <c:v>-0.422466656</c:v>
                </c:pt>
                <c:pt idx="78">
                  <c:v>-0.38148479200000002</c:v>
                </c:pt>
                <c:pt idx="79">
                  <c:v>-0.334110252</c:v>
                </c:pt>
                <c:pt idx="80">
                  <c:v>-0.29393037399999999</c:v>
                </c:pt>
                <c:pt idx="81">
                  <c:v>-0.26659682400000001</c:v>
                </c:pt>
                <c:pt idx="82">
                  <c:v>-0.24233078199999999</c:v>
                </c:pt>
                <c:pt idx="83">
                  <c:v>-0.21991680499999999</c:v>
                </c:pt>
                <c:pt idx="84">
                  <c:v>-0.201404006</c:v>
                </c:pt>
                <c:pt idx="85">
                  <c:v>-0.190870657</c:v>
                </c:pt>
                <c:pt idx="86">
                  <c:v>-0.185835371</c:v>
                </c:pt>
                <c:pt idx="87">
                  <c:v>-0.18328593100000001</c:v>
                </c:pt>
                <c:pt idx="88">
                  <c:v>-0.17951204400000001</c:v>
                </c:pt>
                <c:pt idx="89">
                  <c:v>-0.17473808399999999</c:v>
                </c:pt>
                <c:pt idx="90">
                  <c:v>-0.17083353300000001</c:v>
                </c:pt>
                <c:pt idx="91">
                  <c:v>-0.16663988099999999</c:v>
                </c:pt>
                <c:pt idx="92">
                  <c:v>-0.16152867000000001</c:v>
                </c:pt>
                <c:pt idx="93">
                  <c:v>-0.157040925</c:v>
                </c:pt>
                <c:pt idx="94">
                  <c:v>-0.15281704400000001</c:v>
                </c:pt>
                <c:pt idx="95">
                  <c:v>-0.14824411000000001</c:v>
                </c:pt>
                <c:pt idx="96">
                  <c:v>-0.143421996</c:v>
                </c:pt>
                <c:pt idx="97">
                  <c:v>-0.13893773100000001</c:v>
                </c:pt>
                <c:pt idx="98">
                  <c:v>-0.13519990500000001</c:v>
                </c:pt>
                <c:pt idx="99">
                  <c:v>-0.13062491600000001</c:v>
                </c:pt>
                <c:pt idx="100">
                  <c:v>-0.12693185800000001</c:v>
                </c:pt>
                <c:pt idx="101">
                  <c:v>-0.12411423100000001</c:v>
                </c:pt>
                <c:pt idx="102">
                  <c:v>-0.12183348200000001</c:v>
                </c:pt>
                <c:pt idx="103">
                  <c:v>-0.11964474</c:v>
                </c:pt>
                <c:pt idx="104">
                  <c:v>-0.11760408899999999</c:v>
                </c:pt>
                <c:pt idx="105">
                  <c:v>-0.112605546</c:v>
                </c:pt>
                <c:pt idx="106">
                  <c:v>-0.108402466</c:v>
                </c:pt>
                <c:pt idx="107">
                  <c:v>-0.107587023</c:v>
                </c:pt>
                <c:pt idx="108">
                  <c:v>-0.10601055500000001</c:v>
                </c:pt>
                <c:pt idx="109">
                  <c:v>-0.104527437</c:v>
                </c:pt>
                <c:pt idx="110">
                  <c:v>-0.103009056</c:v>
                </c:pt>
                <c:pt idx="111">
                  <c:v>-0.10158036500000001</c:v>
                </c:pt>
                <c:pt idx="112">
                  <c:v>-0.101399793</c:v>
                </c:pt>
                <c:pt idx="113">
                  <c:v>-0.101489625</c:v>
                </c:pt>
                <c:pt idx="114">
                  <c:v>-0.101429458</c:v>
                </c:pt>
                <c:pt idx="115">
                  <c:v>-0.101520127</c:v>
                </c:pt>
                <c:pt idx="116">
                  <c:v>-0.10158036500000001</c:v>
                </c:pt>
                <c:pt idx="117">
                  <c:v>-0.10188225200000001</c:v>
                </c:pt>
                <c:pt idx="118">
                  <c:v>-0.101912101</c:v>
                </c:pt>
                <c:pt idx="119">
                  <c:v>-0.101942769</c:v>
                </c:pt>
                <c:pt idx="120">
                  <c:v>-0.101942769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E8-4827-9A6F-026DABB7555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Victormonicabobina1!$D$5:$D$125</c:f>
              <c:numCache>
                <c:formatCode>General</c:formatCode>
                <c:ptCount val="121"/>
                <c:pt idx="0">
                  <c:v>7.5</c:v>
                </c:pt>
                <c:pt idx="1">
                  <c:v>7.5</c:v>
                </c:pt>
                <c:pt idx="2">
                  <c:v>7.4888000000000003</c:v>
                </c:pt>
                <c:pt idx="3">
                  <c:v>7.4175000000000004</c:v>
                </c:pt>
                <c:pt idx="4">
                  <c:v>7.3049999999999997</c:v>
                </c:pt>
                <c:pt idx="5">
                  <c:v>7.2563000000000004</c:v>
                </c:pt>
                <c:pt idx="6">
                  <c:v>7.1962999999999999</c:v>
                </c:pt>
                <c:pt idx="7">
                  <c:v>7.1775000000000002</c:v>
                </c:pt>
                <c:pt idx="8">
                  <c:v>7.0838000000000001</c:v>
                </c:pt>
                <c:pt idx="9">
                  <c:v>6.8925000000000001</c:v>
                </c:pt>
                <c:pt idx="10">
                  <c:v>6.6449999999999996</c:v>
                </c:pt>
                <c:pt idx="11">
                  <c:v>6.48</c:v>
                </c:pt>
                <c:pt idx="12">
                  <c:v>6.1387</c:v>
                </c:pt>
                <c:pt idx="13">
                  <c:v>5.7862</c:v>
                </c:pt>
                <c:pt idx="14">
                  <c:v>5.5461999999999998</c:v>
                </c:pt>
                <c:pt idx="15">
                  <c:v>5.2912999999999997</c:v>
                </c:pt>
                <c:pt idx="16">
                  <c:v>4.9649999999999999</c:v>
                </c:pt>
                <c:pt idx="17">
                  <c:v>4.5263</c:v>
                </c:pt>
                <c:pt idx="18">
                  <c:v>4.0987999999999998</c:v>
                </c:pt>
                <c:pt idx="19">
                  <c:v>3.8325</c:v>
                </c:pt>
                <c:pt idx="20">
                  <c:v>3.5512999999999999</c:v>
                </c:pt>
                <c:pt idx="21">
                  <c:v>3.03</c:v>
                </c:pt>
                <c:pt idx="22">
                  <c:v>2.2275</c:v>
                </c:pt>
                <c:pt idx="23">
                  <c:v>1.5113000000000001</c:v>
                </c:pt>
                <c:pt idx="24">
                  <c:v>1.1625000000000001</c:v>
                </c:pt>
                <c:pt idx="25">
                  <c:v>0.75</c:v>
                </c:pt>
                <c:pt idx="26">
                  <c:v>0.28870000000000001</c:v>
                </c:pt>
                <c:pt idx="27">
                  <c:v>-7.8799999999999995E-2</c:v>
                </c:pt>
                <c:pt idx="28">
                  <c:v>-0.43880000000000002</c:v>
                </c:pt>
                <c:pt idx="29">
                  <c:v>-0.90380000000000005</c:v>
                </c:pt>
                <c:pt idx="30">
                  <c:v>-1.4887999999999999</c:v>
                </c:pt>
                <c:pt idx="31">
                  <c:v>-1.9987999999999999</c:v>
                </c:pt>
                <c:pt idx="32">
                  <c:v>-2.4824999999999999</c:v>
                </c:pt>
                <c:pt idx="33">
                  <c:v>-2.8462000000000001</c:v>
                </c:pt>
                <c:pt idx="34">
                  <c:v>-3.0787</c:v>
                </c:pt>
                <c:pt idx="35">
                  <c:v>-3.3187000000000002</c:v>
                </c:pt>
                <c:pt idx="36">
                  <c:v>-3.51</c:v>
                </c:pt>
                <c:pt idx="37">
                  <c:v>-3.7837000000000001</c:v>
                </c:pt>
                <c:pt idx="38">
                  <c:v>-4.1849999999999996</c:v>
                </c:pt>
                <c:pt idx="39">
                  <c:v>-4.5038</c:v>
                </c:pt>
                <c:pt idx="40">
                  <c:v>-4.9386999999999999</c:v>
                </c:pt>
                <c:pt idx="41">
                  <c:v>-5.31</c:v>
                </c:pt>
                <c:pt idx="42">
                  <c:v>-5.5724999999999998</c:v>
                </c:pt>
                <c:pt idx="43">
                  <c:v>-5.9138000000000002</c:v>
                </c:pt>
                <c:pt idx="44">
                  <c:v>-6.2024999999999997</c:v>
                </c:pt>
                <c:pt idx="45">
                  <c:v>-6.42</c:v>
                </c:pt>
                <c:pt idx="46">
                  <c:v>-6.7237</c:v>
                </c:pt>
                <c:pt idx="47">
                  <c:v>-6.99</c:v>
                </c:pt>
                <c:pt idx="48">
                  <c:v>-7.3312999999999997</c:v>
                </c:pt>
                <c:pt idx="49">
                  <c:v>-8.0175000000000001</c:v>
                </c:pt>
                <c:pt idx="50">
                  <c:v>-8.5312999999999999</c:v>
                </c:pt>
                <c:pt idx="51">
                  <c:v>-8.8800000000000008</c:v>
                </c:pt>
                <c:pt idx="52">
                  <c:v>-9.2624999999999993</c:v>
                </c:pt>
                <c:pt idx="53">
                  <c:v>-9.7050000000000001</c:v>
                </c:pt>
                <c:pt idx="54">
                  <c:v>-10.02</c:v>
                </c:pt>
                <c:pt idx="55">
                  <c:v>-10.282500000000001</c:v>
                </c:pt>
                <c:pt idx="56">
                  <c:v>-10.605</c:v>
                </c:pt>
                <c:pt idx="57">
                  <c:v>-11.0588</c:v>
                </c:pt>
                <c:pt idx="58">
                  <c:v>-11.827500000000001</c:v>
                </c:pt>
                <c:pt idx="59">
                  <c:v>-12.8063</c:v>
                </c:pt>
                <c:pt idx="60">
                  <c:v>-13.7325</c:v>
                </c:pt>
                <c:pt idx="61">
                  <c:v>-14.407500000000001</c:v>
                </c:pt>
                <c:pt idx="62">
                  <c:v>-15.0488</c:v>
                </c:pt>
                <c:pt idx="63">
                  <c:v>-15.5625</c:v>
                </c:pt>
                <c:pt idx="64">
                  <c:v>-15.952500000000001</c:v>
                </c:pt>
                <c:pt idx="65">
                  <c:v>-16.267499999999998</c:v>
                </c:pt>
                <c:pt idx="66">
                  <c:v>-16.6538</c:v>
                </c:pt>
                <c:pt idx="67">
                  <c:v>-17.141300000000001</c:v>
                </c:pt>
                <c:pt idx="68">
                  <c:v>-17.456299999999999</c:v>
                </c:pt>
                <c:pt idx="69">
                  <c:v>-17.64</c:v>
                </c:pt>
                <c:pt idx="70">
                  <c:v>-17.876300000000001</c:v>
                </c:pt>
                <c:pt idx="71">
                  <c:v>-18.12</c:v>
                </c:pt>
                <c:pt idx="72">
                  <c:v>-18.258700000000001</c:v>
                </c:pt>
                <c:pt idx="73">
                  <c:v>-18.4725</c:v>
                </c:pt>
                <c:pt idx="74">
                  <c:v>-18.8325</c:v>
                </c:pt>
                <c:pt idx="75">
                  <c:v>-19.046299999999999</c:v>
                </c:pt>
                <c:pt idx="76">
                  <c:v>-19.421299999999999</c:v>
                </c:pt>
                <c:pt idx="77">
                  <c:v>-20.212499999999999</c:v>
                </c:pt>
                <c:pt idx="78">
                  <c:v>-21.086200000000002</c:v>
                </c:pt>
                <c:pt idx="79">
                  <c:v>-22.2562</c:v>
                </c:pt>
                <c:pt idx="80">
                  <c:v>-23.426200000000001</c:v>
                </c:pt>
                <c:pt idx="81">
                  <c:v>-24.344999999999999</c:v>
                </c:pt>
                <c:pt idx="82">
                  <c:v>-25.267499999999998</c:v>
                </c:pt>
                <c:pt idx="83">
                  <c:v>-26.231200000000001</c:v>
                </c:pt>
                <c:pt idx="84">
                  <c:v>-27.127500000000001</c:v>
                </c:pt>
                <c:pt idx="85">
                  <c:v>-27.686199999999999</c:v>
                </c:pt>
                <c:pt idx="86">
                  <c:v>-27.967500000000001</c:v>
                </c:pt>
                <c:pt idx="87">
                  <c:v>-28.113700000000001</c:v>
                </c:pt>
                <c:pt idx="88">
                  <c:v>-28.335000000000001</c:v>
                </c:pt>
                <c:pt idx="89">
                  <c:v>-28.623699999999999</c:v>
                </c:pt>
                <c:pt idx="90">
                  <c:v>-28.8675</c:v>
                </c:pt>
                <c:pt idx="91">
                  <c:v>-29.137499999999999</c:v>
                </c:pt>
                <c:pt idx="92">
                  <c:v>-29.4787</c:v>
                </c:pt>
                <c:pt idx="93">
                  <c:v>-29.79</c:v>
                </c:pt>
                <c:pt idx="94">
                  <c:v>-30.093699999999998</c:v>
                </c:pt>
                <c:pt idx="95">
                  <c:v>-30.434999999999999</c:v>
                </c:pt>
                <c:pt idx="96">
                  <c:v>-30.81</c:v>
                </c:pt>
                <c:pt idx="97">
                  <c:v>-31.1737</c:v>
                </c:pt>
                <c:pt idx="98">
                  <c:v>-31.488700000000001</c:v>
                </c:pt>
                <c:pt idx="99">
                  <c:v>-31.89</c:v>
                </c:pt>
                <c:pt idx="100">
                  <c:v>-32.227499999999999</c:v>
                </c:pt>
                <c:pt idx="101">
                  <c:v>-32.493699999999997</c:v>
                </c:pt>
                <c:pt idx="102">
                  <c:v>-32.715000000000003</c:v>
                </c:pt>
                <c:pt idx="103">
                  <c:v>-32.932499999999997</c:v>
                </c:pt>
                <c:pt idx="104">
                  <c:v>-33.14</c:v>
                </c:pt>
                <c:pt idx="105">
                  <c:v>-33.668700000000001</c:v>
                </c:pt>
                <c:pt idx="106">
                  <c:v>-34.137500000000003</c:v>
                </c:pt>
                <c:pt idx="107">
                  <c:v>-34.231200000000001</c:v>
                </c:pt>
                <c:pt idx="108">
                  <c:v>-34.414999999999999</c:v>
                </c:pt>
                <c:pt idx="109">
                  <c:v>-34.591200000000001</c:v>
                </c:pt>
                <c:pt idx="110">
                  <c:v>-34.774999999999999</c:v>
                </c:pt>
                <c:pt idx="111">
                  <c:v>-34.9512</c:v>
                </c:pt>
                <c:pt idx="112">
                  <c:v>-34.973700000000001</c:v>
                </c:pt>
                <c:pt idx="113">
                  <c:v>-34.962499999999999</c:v>
                </c:pt>
                <c:pt idx="114">
                  <c:v>-34.97</c:v>
                </c:pt>
                <c:pt idx="115">
                  <c:v>-34.9587</c:v>
                </c:pt>
                <c:pt idx="116">
                  <c:v>-34.9512</c:v>
                </c:pt>
                <c:pt idx="117">
                  <c:v>-34.913699999999999</c:v>
                </c:pt>
                <c:pt idx="118">
                  <c:v>-34.909999999999997</c:v>
                </c:pt>
                <c:pt idx="119">
                  <c:v>-34.906199999999998</c:v>
                </c:pt>
                <c:pt idx="120">
                  <c:v>-34.906199999999998</c:v>
                </c:pt>
              </c:numCache>
            </c:numRef>
          </c:xVal>
          <c:yVal>
            <c:numRef>
              <c:f>Victormonicabobina1!$C$5:$C$125</c:f>
              <c:numCache>
                <c:formatCode>General</c:formatCode>
                <c:ptCount val="121"/>
                <c:pt idx="0">
                  <c:v>2.4159160100000001</c:v>
                </c:pt>
                <c:pt idx="1">
                  <c:v>2.4159160100000001</c:v>
                </c:pt>
                <c:pt idx="2">
                  <c:v>2.4197163330000002</c:v>
                </c:pt>
                <c:pt idx="3">
                  <c:v>2.4440092729999998</c:v>
                </c:pt>
                <c:pt idx="4">
                  <c:v>2.4826863910000001</c:v>
                </c:pt>
                <c:pt idx="5">
                  <c:v>2.4995589470000001</c:v>
                </c:pt>
                <c:pt idx="6">
                  <c:v>2.52045254</c:v>
                </c:pt>
                <c:pt idx="7">
                  <c:v>2.5270230570000001</c:v>
                </c:pt>
                <c:pt idx="8">
                  <c:v>2.559938238</c:v>
                </c:pt>
                <c:pt idx="9">
                  <c:v>2.6279818860000002</c:v>
                </c:pt>
                <c:pt idx="10">
                  <c:v>2.71760694</c:v>
                </c:pt>
                <c:pt idx="11">
                  <c:v>2.7782835220000002</c:v>
                </c:pt>
                <c:pt idx="12">
                  <c:v>2.905882428</c:v>
                </c:pt>
                <c:pt idx="13">
                  <c:v>3.040130011</c:v>
                </c:pt>
                <c:pt idx="14">
                  <c:v>3.1326005559999999</c:v>
                </c:pt>
                <c:pt idx="15">
                  <c:v>3.2314227720000002</c:v>
                </c:pt>
                <c:pt idx="16">
                  <c:v>3.3582890459999999</c:v>
                </c:pt>
                <c:pt idx="17">
                  <c:v>3.5281264160000001</c:v>
                </c:pt>
                <c:pt idx="18">
                  <c:v>3.690834148</c:v>
                </c:pt>
                <c:pt idx="19">
                  <c:v>3.789757652</c:v>
                </c:pt>
                <c:pt idx="20">
                  <c:v>3.8913893850000001</c:v>
                </c:pt>
                <c:pt idx="21">
                  <c:v>4.0695985610000003</c:v>
                </c:pt>
                <c:pt idx="22">
                  <c:v>4.308154128</c:v>
                </c:pt>
                <c:pt idx="23">
                  <c:v>4.4719232929999997</c:v>
                </c:pt>
                <c:pt idx="24">
                  <c:v>4.5314133119999997</c:v>
                </c:pt>
                <c:pt idx="25">
                  <c:v>4.582773349</c:v>
                </c:pt>
                <c:pt idx="26">
                  <c:v>4.614443058</c:v>
                </c:pt>
                <c:pt idx="27">
                  <c:v>4.6195756240000003</c:v>
                </c:pt>
                <c:pt idx="28">
                  <c:v>4.607193573</c:v>
                </c:pt>
                <c:pt idx="29">
                  <c:v>4.5661086080000004</c:v>
                </c:pt>
                <c:pt idx="30">
                  <c:v>4.4761853299999999</c:v>
                </c:pt>
                <c:pt idx="31">
                  <c:v>4.3660986700000004</c:v>
                </c:pt>
                <c:pt idx="32">
                  <c:v>4.237917468</c:v>
                </c:pt>
                <c:pt idx="33">
                  <c:v>4.1285322750000004</c:v>
                </c:pt>
                <c:pt idx="34">
                  <c:v>4.0536114650000004</c:v>
                </c:pt>
                <c:pt idx="35">
                  <c:v>3.9727404850000001</c:v>
                </c:pt>
                <c:pt idx="36">
                  <c:v>3.9060279499999999</c:v>
                </c:pt>
                <c:pt idx="37">
                  <c:v>3.807622931</c:v>
                </c:pt>
                <c:pt idx="38">
                  <c:v>3.6583595560000002</c:v>
                </c:pt>
                <c:pt idx="39">
                  <c:v>3.5367787260000001</c:v>
                </c:pt>
                <c:pt idx="40">
                  <c:v>3.3685105210000001</c:v>
                </c:pt>
                <c:pt idx="41">
                  <c:v>3.2241588210000001</c:v>
                </c:pt>
                <c:pt idx="42">
                  <c:v>3.1224348210000001</c:v>
                </c:pt>
                <c:pt idx="43">
                  <c:v>2.9912878630000002</c:v>
                </c:pt>
                <c:pt idx="44">
                  <c:v>2.881833366</c:v>
                </c:pt>
                <c:pt idx="45">
                  <c:v>2.8005192390000002</c:v>
                </c:pt>
                <c:pt idx="46">
                  <c:v>2.6889212090000001</c:v>
                </c:pt>
                <c:pt idx="47">
                  <c:v>2.5931630280000002</c:v>
                </c:pt>
                <c:pt idx="48">
                  <c:v>2.473606905</c:v>
                </c:pt>
                <c:pt idx="49">
                  <c:v>2.2451052539999998</c:v>
                </c:pt>
                <c:pt idx="50">
                  <c:v>2.085129582</c:v>
                </c:pt>
                <c:pt idx="51">
                  <c:v>1.982169837</c:v>
                </c:pt>
                <c:pt idx="52">
                  <c:v>1.874479947</c:v>
                </c:pt>
                <c:pt idx="53">
                  <c:v>1.7566982980000001</c:v>
                </c:pt>
                <c:pt idx="54">
                  <c:v>1.6772252510000001</c:v>
                </c:pt>
                <c:pt idx="55">
                  <c:v>1.6137156459999999</c:v>
                </c:pt>
                <c:pt idx="56">
                  <c:v>1.5389924719999999</c:v>
                </c:pt>
                <c:pt idx="57">
                  <c:v>1.439819255</c:v>
                </c:pt>
                <c:pt idx="58">
                  <c:v>1.2868985230000001</c:v>
                </c:pt>
                <c:pt idx="59">
                  <c:v>1.1172203919999999</c:v>
                </c:pt>
                <c:pt idx="60">
                  <c:v>0.97944939399999997</c:v>
                </c:pt>
                <c:pt idx="61">
                  <c:v>0.891275021</c:v>
                </c:pt>
                <c:pt idx="62">
                  <c:v>0.81596532099999997</c:v>
                </c:pt>
                <c:pt idx="63">
                  <c:v>0.76101249199999998</c:v>
                </c:pt>
                <c:pt idx="64">
                  <c:v>0.722216313</c:v>
                </c:pt>
                <c:pt idx="65">
                  <c:v>0.69259926599999999</c:v>
                </c:pt>
                <c:pt idx="66">
                  <c:v>0.65824737799999999</c:v>
                </c:pt>
                <c:pt idx="67">
                  <c:v>0.61778767099999998</c:v>
                </c:pt>
                <c:pt idx="68">
                  <c:v>0.59324631500000002</c:v>
                </c:pt>
                <c:pt idx="69">
                  <c:v>0.57948259499999999</c:v>
                </c:pt>
                <c:pt idx="70">
                  <c:v>0.56234691400000003</c:v>
                </c:pt>
                <c:pt idx="71">
                  <c:v>0.54532011400000002</c:v>
                </c:pt>
                <c:pt idx="72">
                  <c:v>0.53591181700000001</c:v>
                </c:pt>
                <c:pt idx="73">
                  <c:v>0.52179697599999997</c:v>
                </c:pt>
                <c:pt idx="74">
                  <c:v>0.49904995899999999</c:v>
                </c:pt>
                <c:pt idx="75">
                  <c:v>0.48611950799999998</c:v>
                </c:pt>
                <c:pt idx="76">
                  <c:v>0.46442612300000002</c:v>
                </c:pt>
                <c:pt idx="77">
                  <c:v>0.422466656</c:v>
                </c:pt>
                <c:pt idx="78">
                  <c:v>0.38148479200000002</c:v>
                </c:pt>
                <c:pt idx="79">
                  <c:v>0.334110252</c:v>
                </c:pt>
                <c:pt idx="80">
                  <c:v>0.29393037399999999</c:v>
                </c:pt>
                <c:pt idx="81">
                  <c:v>0.26659682400000001</c:v>
                </c:pt>
                <c:pt idx="82">
                  <c:v>0.24233078199999999</c:v>
                </c:pt>
                <c:pt idx="83">
                  <c:v>0.21991680499999999</c:v>
                </c:pt>
                <c:pt idx="84">
                  <c:v>0.201404006</c:v>
                </c:pt>
                <c:pt idx="85">
                  <c:v>0.190870657</c:v>
                </c:pt>
                <c:pt idx="86">
                  <c:v>0.185835371</c:v>
                </c:pt>
                <c:pt idx="87">
                  <c:v>0.18328593100000001</c:v>
                </c:pt>
                <c:pt idx="88">
                  <c:v>0.17951204400000001</c:v>
                </c:pt>
                <c:pt idx="89">
                  <c:v>0.17473808399999999</c:v>
                </c:pt>
                <c:pt idx="90">
                  <c:v>0.17083353300000001</c:v>
                </c:pt>
                <c:pt idx="91">
                  <c:v>0.16663988099999999</c:v>
                </c:pt>
                <c:pt idx="92">
                  <c:v>0.16152867000000001</c:v>
                </c:pt>
                <c:pt idx="93">
                  <c:v>0.157040925</c:v>
                </c:pt>
                <c:pt idx="94">
                  <c:v>0.15281704400000001</c:v>
                </c:pt>
                <c:pt idx="95">
                  <c:v>0.14824411000000001</c:v>
                </c:pt>
                <c:pt idx="96">
                  <c:v>0.143421996</c:v>
                </c:pt>
                <c:pt idx="97">
                  <c:v>0.13893773100000001</c:v>
                </c:pt>
                <c:pt idx="98">
                  <c:v>0.13519990500000001</c:v>
                </c:pt>
                <c:pt idx="99">
                  <c:v>0.13062491600000001</c:v>
                </c:pt>
                <c:pt idx="100">
                  <c:v>0.12693185800000001</c:v>
                </c:pt>
                <c:pt idx="101">
                  <c:v>0.12411423100000001</c:v>
                </c:pt>
                <c:pt idx="102">
                  <c:v>0.12183348200000001</c:v>
                </c:pt>
                <c:pt idx="103">
                  <c:v>0.11964474</c:v>
                </c:pt>
                <c:pt idx="104">
                  <c:v>0.11760408899999999</c:v>
                </c:pt>
                <c:pt idx="105">
                  <c:v>0.112605546</c:v>
                </c:pt>
                <c:pt idx="106">
                  <c:v>0.108402466</c:v>
                </c:pt>
                <c:pt idx="107">
                  <c:v>0.107587023</c:v>
                </c:pt>
                <c:pt idx="108">
                  <c:v>0.10601055500000001</c:v>
                </c:pt>
                <c:pt idx="109">
                  <c:v>0.104527437</c:v>
                </c:pt>
                <c:pt idx="110">
                  <c:v>0.103009056</c:v>
                </c:pt>
                <c:pt idx="111">
                  <c:v>0.10158036500000001</c:v>
                </c:pt>
                <c:pt idx="112">
                  <c:v>0.101399793</c:v>
                </c:pt>
                <c:pt idx="113">
                  <c:v>0.101489625</c:v>
                </c:pt>
                <c:pt idx="114">
                  <c:v>0.101429458</c:v>
                </c:pt>
                <c:pt idx="115">
                  <c:v>0.101520127</c:v>
                </c:pt>
                <c:pt idx="116">
                  <c:v>0.10158036500000001</c:v>
                </c:pt>
                <c:pt idx="117">
                  <c:v>0.10188225200000001</c:v>
                </c:pt>
                <c:pt idx="118">
                  <c:v>0.101912101</c:v>
                </c:pt>
                <c:pt idx="119">
                  <c:v>0.101942769</c:v>
                </c:pt>
                <c:pt idx="120">
                  <c:v>0.101942769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E8-4827-9A6F-026DABB75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748632"/>
        <c:axId val="333398952"/>
      </c:scatterChart>
      <c:valAx>
        <c:axId val="385748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33398952"/>
        <c:crosses val="autoZero"/>
        <c:crossBetween val="midCat"/>
      </c:valAx>
      <c:valAx>
        <c:axId val="333398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5748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Experimental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Hoja1!$B$4:$B$40</c:f>
              <c:numCache>
                <c:formatCode>General</c:formatCode>
                <c:ptCount val="37"/>
                <c:pt idx="0">
                  <c:v>-3.7000000000000002E-3</c:v>
                </c:pt>
                <c:pt idx="1">
                  <c:v>-3.7000000000000002E-3</c:v>
                </c:pt>
                <c:pt idx="2">
                  <c:v>-3.7000000000000002E-3</c:v>
                </c:pt>
                <c:pt idx="3">
                  <c:v>-3.7000000000000002E-3</c:v>
                </c:pt>
                <c:pt idx="4">
                  <c:v>-3.7000000000000002E-3</c:v>
                </c:pt>
                <c:pt idx="5">
                  <c:v>-1.12E-2</c:v>
                </c:pt>
                <c:pt idx="6">
                  <c:v>-0.69</c:v>
                </c:pt>
                <c:pt idx="7">
                  <c:v>-2.6549999999999998</c:v>
                </c:pt>
                <c:pt idx="8">
                  <c:v>-3.93</c:v>
                </c:pt>
                <c:pt idx="9">
                  <c:v>-5.4824999999999999</c:v>
                </c:pt>
                <c:pt idx="10">
                  <c:v>-7.3274999999999997</c:v>
                </c:pt>
                <c:pt idx="11">
                  <c:v>-9.1950000000000003</c:v>
                </c:pt>
                <c:pt idx="12">
                  <c:v>-11.01</c:v>
                </c:pt>
                <c:pt idx="13">
                  <c:v>-12.8962</c:v>
                </c:pt>
                <c:pt idx="14">
                  <c:v>-14.9025</c:v>
                </c:pt>
                <c:pt idx="15">
                  <c:v>-17.024999999999999</c:v>
                </c:pt>
                <c:pt idx="16">
                  <c:v>-18.873799999999999</c:v>
                </c:pt>
                <c:pt idx="17">
                  <c:v>-20.3962</c:v>
                </c:pt>
                <c:pt idx="18">
                  <c:v>-21.69</c:v>
                </c:pt>
                <c:pt idx="19">
                  <c:v>-22.942499999999999</c:v>
                </c:pt>
                <c:pt idx="20">
                  <c:v>-24.258700000000001</c:v>
                </c:pt>
                <c:pt idx="21">
                  <c:v>-25.5075</c:v>
                </c:pt>
                <c:pt idx="22">
                  <c:v>-26.557500000000001</c:v>
                </c:pt>
                <c:pt idx="23">
                  <c:v>-27.453700000000001</c:v>
                </c:pt>
                <c:pt idx="24">
                  <c:v>-28.2562</c:v>
                </c:pt>
                <c:pt idx="25">
                  <c:v>-28.706199999999999</c:v>
                </c:pt>
                <c:pt idx="26">
                  <c:v>-29.43</c:v>
                </c:pt>
                <c:pt idx="27">
                  <c:v>-30.918700000000001</c:v>
                </c:pt>
                <c:pt idx="28">
                  <c:v>-32.835000000000001</c:v>
                </c:pt>
                <c:pt idx="29">
                  <c:v>-34.74</c:v>
                </c:pt>
                <c:pt idx="30">
                  <c:v>-36.487499999999997</c:v>
                </c:pt>
                <c:pt idx="31">
                  <c:v>-38.137500000000003</c:v>
                </c:pt>
                <c:pt idx="32">
                  <c:v>-39.738700000000001</c:v>
                </c:pt>
                <c:pt idx="33">
                  <c:v>-40.968699999999998</c:v>
                </c:pt>
                <c:pt idx="34">
                  <c:v>-41.441200000000002</c:v>
                </c:pt>
                <c:pt idx="35">
                  <c:v>-41.677500000000002</c:v>
                </c:pt>
                <c:pt idx="36">
                  <c:v>-41.774999999999999</c:v>
                </c:pt>
              </c:numCache>
            </c:numRef>
          </c:xVal>
          <c:yVal>
            <c:numRef>
              <c:f>Hoja1!$C$4:$C$41</c:f>
              <c:numCache>
                <c:formatCode>General</c:formatCode>
                <c:ptCount val="38"/>
                <c:pt idx="0">
                  <c:v>-0.47000000000000003</c:v>
                </c:pt>
                <c:pt idx="1">
                  <c:v>-0.47000000000000003</c:v>
                </c:pt>
                <c:pt idx="2">
                  <c:v>-0.47000000000000003</c:v>
                </c:pt>
                <c:pt idx="3">
                  <c:v>-0.47000000000000003</c:v>
                </c:pt>
                <c:pt idx="4">
                  <c:v>-0.48</c:v>
                </c:pt>
                <c:pt idx="5">
                  <c:v>-0.52</c:v>
                </c:pt>
                <c:pt idx="6">
                  <c:v>-0.74</c:v>
                </c:pt>
                <c:pt idx="7">
                  <c:v>-0.90999999999999992</c:v>
                </c:pt>
                <c:pt idx="8">
                  <c:v>-1.1500000000000001</c:v>
                </c:pt>
                <c:pt idx="9">
                  <c:v>-1.4300000000000002</c:v>
                </c:pt>
                <c:pt idx="10">
                  <c:v>-1.6700000000000002</c:v>
                </c:pt>
                <c:pt idx="11">
                  <c:v>-1.6600000000000001</c:v>
                </c:pt>
                <c:pt idx="12">
                  <c:v>-1.31</c:v>
                </c:pt>
                <c:pt idx="13">
                  <c:v>-0.52</c:v>
                </c:pt>
                <c:pt idx="14">
                  <c:v>0.36</c:v>
                </c:pt>
                <c:pt idx="15">
                  <c:v>1.0599999999999998</c:v>
                </c:pt>
                <c:pt idx="16">
                  <c:v>1.46</c:v>
                </c:pt>
                <c:pt idx="17">
                  <c:v>1.6099999999999999</c:v>
                </c:pt>
                <c:pt idx="18">
                  <c:v>1.5999999999999999</c:v>
                </c:pt>
                <c:pt idx="19">
                  <c:v>1.45</c:v>
                </c:pt>
                <c:pt idx="20">
                  <c:v>1.27</c:v>
                </c:pt>
                <c:pt idx="21">
                  <c:v>1.1099999999999999</c:v>
                </c:pt>
                <c:pt idx="22">
                  <c:v>0.96</c:v>
                </c:pt>
                <c:pt idx="23">
                  <c:v>0.84000000000000008</c:v>
                </c:pt>
                <c:pt idx="24">
                  <c:v>0.78</c:v>
                </c:pt>
                <c:pt idx="25">
                  <c:v>0.71</c:v>
                </c:pt>
                <c:pt idx="26">
                  <c:v>0.56000000000000005</c:v>
                </c:pt>
                <c:pt idx="27">
                  <c:v>0.39999999999999997</c:v>
                </c:pt>
                <c:pt idx="28">
                  <c:v>0.27</c:v>
                </c:pt>
                <c:pt idx="29">
                  <c:v>0.2</c:v>
                </c:pt>
                <c:pt idx="30">
                  <c:v>0.16</c:v>
                </c:pt>
                <c:pt idx="31">
                  <c:v>0.13</c:v>
                </c:pt>
                <c:pt idx="32">
                  <c:v>0.12</c:v>
                </c:pt>
                <c:pt idx="33">
                  <c:v>0.10999999999999999</c:v>
                </c:pt>
                <c:pt idx="34">
                  <c:v>0.1</c:v>
                </c:pt>
                <c:pt idx="35">
                  <c:v>0.1</c:v>
                </c:pt>
                <c:pt idx="36">
                  <c:v>0.09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163-4AF6-9A5B-7417BEB0334D}"/>
            </c:ext>
          </c:extLst>
        </c:ser>
        <c:ser>
          <c:idx val="1"/>
          <c:order val="1"/>
          <c:tx>
            <c:v>Teórica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Hoja1!$B$4:$B$40</c:f>
              <c:numCache>
                <c:formatCode>General</c:formatCode>
                <c:ptCount val="37"/>
                <c:pt idx="0">
                  <c:v>-3.7000000000000002E-3</c:v>
                </c:pt>
                <c:pt idx="1">
                  <c:v>-3.7000000000000002E-3</c:v>
                </c:pt>
                <c:pt idx="2">
                  <c:v>-3.7000000000000002E-3</c:v>
                </c:pt>
                <c:pt idx="3">
                  <c:v>-3.7000000000000002E-3</c:v>
                </c:pt>
                <c:pt idx="4">
                  <c:v>-3.7000000000000002E-3</c:v>
                </c:pt>
                <c:pt idx="5">
                  <c:v>-1.12E-2</c:v>
                </c:pt>
                <c:pt idx="6">
                  <c:v>-0.69</c:v>
                </c:pt>
                <c:pt idx="7">
                  <c:v>-2.6549999999999998</c:v>
                </c:pt>
                <c:pt idx="8">
                  <c:v>-3.93</c:v>
                </c:pt>
                <c:pt idx="9">
                  <c:v>-5.4824999999999999</c:v>
                </c:pt>
                <c:pt idx="10">
                  <c:v>-7.3274999999999997</c:v>
                </c:pt>
                <c:pt idx="11">
                  <c:v>-9.1950000000000003</c:v>
                </c:pt>
                <c:pt idx="12">
                  <c:v>-11.01</c:v>
                </c:pt>
                <c:pt idx="13">
                  <c:v>-12.8962</c:v>
                </c:pt>
                <c:pt idx="14">
                  <c:v>-14.9025</c:v>
                </c:pt>
                <c:pt idx="15">
                  <c:v>-17.024999999999999</c:v>
                </c:pt>
                <c:pt idx="16">
                  <c:v>-18.873799999999999</c:v>
                </c:pt>
                <c:pt idx="17">
                  <c:v>-20.3962</c:v>
                </c:pt>
                <c:pt idx="18">
                  <c:v>-21.69</c:v>
                </c:pt>
                <c:pt idx="19">
                  <c:v>-22.942499999999999</c:v>
                </c:pt>
                <c:pt idx="20">
                  <c:v>-24.258700000000001</c:v>
                </c:pt>
                <c:pt idx="21">
                  <c:v>-25.5075</c:v>
                </c:pt>
                <c:pt idx="22">
                  <c:v>-26.557500000000001</c:v>
                </c:pt>
                <c:pt idx="23">
                  <c:v>-27.453700000000001</c:v>
                </c:pt>
                <c:pt idx="24">
                  <c:v>-28.2562</c:v>
                </c:pt>
                <c:pt idx="25">
                  <c:v>-28.706199999999999</c:v>
                </c:pt>
                <c:pt idx="26">
                  <c:v>-29.43</c:v>
                </c:pt>
                <c:pt idx="27">
                  <c:v>-30.918700000000001</c:v>
                </c:pt>
                <c:pt idx="28">
                  <c:v>-32.835000000000001</c:v>
                </c:pt>
                <c:pt idx="29">
                  <c:v>-34.74</c:v>
                </c:pt>
                <c:pt idx="30">
                  <c:v>-36.487499999999997</c:v>
                </c:pt>
                <c:pt idx="31">
                  <c:v>-38.137500000000003</c:v>
                </c:pt>
                <c:pt idx="32">
                  <c:v>-39.738700000000001</c:v>
                </c:pt>
                <c:pt idx="33">
                  <c:v>-40.968699999999998</c:v>
                </c:pt>
                <c:pt idx="34">
                  <c:v>-41.441200000000002</c:v>
                </c:pt>
                <c:pt idx="35">
                  <c:v>-41.677500000000002</c:v>
                </c:pt>
                <c:pt idx="36">
                  <c:v>-41.774999999999999</c:v>
                </c:pt>
              </c:numCache>
            </c:numRef>
          </c:xVal>
          <c:yVal>
            <c:numRef>
              <c:f>Hoja1!$D$4:$D$40</c:f>
              <c:numCache>
                <c:formatCode>General</c:formatCode>
                <c:ptCount val="37"/>
                <c:pt idx="0">
                  <c:v>1.5969368481576485E-3</c:v>
                </c:pt>
                <c:pt idx="1">
                  <c:v>1.5969368481576485E-3</c:v>
                </c:pt>
                <c:pt idx="2">
                  <c:v>1.5969368481576485E-3</c:v>
                </c:pt>
                <c:pt idx="3">
                  <c:v>1.5969368481576485E-3</c:v>
                </c:pt>
                <c:pt idx="4">
                  <c:v>1.5969368481576485E-3</c:v>
                </c:pt>
                <c:pt idx="5">
                  <c:v>4.8339652377360487E-3</c:v>
                </c:pt>
                <c:pt idx="6">
                  <c:v>0.29629603466235888</c:v>
                </c:pt>
                <c:pt idx="7">
                  <c:v>1.0610406283430751</c:v>
                </c:pt>
                <c:pt idx="8">
                  <c:v>1.4277923581246881</c:v>
                </c:pt>
                <c:pt idx="9">
                  <c:v>1.6779626576399174</c:v>
                </c:pt>
                <c:pt idx="10">
                  <c:v>1.6936719544891661</c:v>
                </c:pt>
                <c:pt idx="11">
                  <c:v>1.4907080927316487</c:v>
                </c:pt>
                <c:pt idx="12">
                  <c:v>1.2088840833361809</c:v>
                </c:pt>
                <c:pt idx="13">
                  <c:v>0.92325557334081432</c:v>
                </c:pt>
                <c:pt idx="14">
                  <c:v>0.67422379965331247</c:v>
                </c:pt>
                <c:pt idx="15">
                  <c:v>0.4794020820804708</c:v>
                </c:pt>
                <c:pt idx="16">
                  <c:v>0.35751388561641817</c:v>
                </c:pt>
                <c:pt idx="17">
                  <c:v>0.2825693193275296</c:v>
                </c:pt>
                <c:pt idx="18">
                  <c:v>0.23268027165226252</c:v>
                </c:pt>
                <c:pt idx="19">
                  <c:v>0.19383696064637096</c:v>
                </c:pt>
                <c:pt idx="20">
                  <c:v>0.16093522879848371</c:v>
                </c:pt>
                <c:pt idx="21">
                  <c:v>0.13565870800972712</c:v>
                </c:pt>
                <c:pt idx="22">
                  <c:v>0.1179981531088173</c:v>
                </c:pt>
                <c:pt idx="23">
                  <c:v>0.10506587533581316</c:v>
                </c:pt>
                <c:pt idx="24">
                  <c:v>9.4907682292226667E-2</c:v>
                </c:pt>
                <c:pt idx="25">
                  <c:v>8.9729740739007302E-2</c:v>
                </c:pt>
                <c:pt idx="26">
                  <c:v>8.2098304210760226E-2</c:v>
                </c:pt>
                <c:pt idx="27">
                  <c:v>6.8730344322445056E-2</c:v>
                </c:pt>
                <c:pt idx="28">
                  <c:v>5.5203002953901438E-2</c:v>
                </c:pt>
                <c:pt idx="29">
                  <c:v>4.4842558875259668E-2</c:v>
                </c:pt>
                <c:pt idx="30">
                  <c:v>3.7362062254711205E-2</c:v>
                </c:pt>
                <c:pt idx="31">
                  <c:v>3.1659200239325176E-2</c:v>
                </c:pt>
                <c:pt idx="32">
                  <c:v>2.7115824101537424E-2</c:v>
                </c:pt>
                <c:pt idx="33">
                  <c:v>2.4162142035988658E-2</c:v>
                </c:pt>
                <c:pt idx="34">
                  <c:v>2.3133800748007475E-2</c:v>
                </c:pt>
                <c:pt idx="35">
                  <c:v>2.2639786420432326E-2</c:v>
                </c:pt>
                <c:pt idx="36">
                  <c:v>2.2439748995317525E-2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163-4AF6-9A5B-7417BEB03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487504"/>
        <c:axId val="385490784"/>
      </c:scatterChart>
      <c:valAx>
        <c:axId val="38548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5490784"/>
        <c:crosses val="autoZero"/>
        <c:crossBetween val="midCat"/>
      </c:valAx>
      <c:valAx>
        <c:axId val="38549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85487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166666666666658E-2"/>
          <c:y val="0.17171296296296298"/>
          <c:w val="0.91294444444444445"/>
          <c:h val="0.60027668416447943"/>
        </c:manualLayout>
      </c:layout>
      <c:scatterChart>
        <c:scatterStyle val="lineMarker"/>
        <c:varyColors val="0"/>
        <c:ser>
          <c:idx val="0"/>
          <c:order val="0"/>
          <c:tx>
            <c:v>Experimental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Hoja1!$K$4:$K$67</c:f>
              <c:numCache>
                <c:formatCode>General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-3.7000000000000002E-3</c:v>
                </c:pt>
                <c:pt idx="6">
                  <c:v>-3.7000000000000002E-3</c:v>
                </c:pt>
                <c:pt idx="7">
                  <c:v>-3.7000000000000002E-3</c:v>
                </c:pt>
                <c:pt idx="8">
                  <c:v>-5.6300000000000003E-2</c:v>
                </c:pt>
                <c:pt idx="9">
                  <c:v>-0.30380000000000001</c:v>
                </c:pt>
                <c:pt idx="10">
                  <c:v>-1.2938000000000001</c:v>
                </c:pt>
                <c:pt idx="11">
                  <c:v>-2.6438000000000001</c:v>
                </c:pt>
                <c:pt idx="12">
                  <c:v>-3.99</c:v>
                </c:pt>
                <c:pt idx="13">
                  <c:v>-5.0625</c:v>
                </c:pt>
                <c:pt idx="14">
                  <c:v>-5.8425000000000002</c:v>
                </c:pt>
                <c:pt idx="15">
                  <c:v>-6.4950000000000001</c:v>
                </c:pt>
                <c:pt idx="16">
                  <c:v>-6.8662000000000001</c:v>
                </c:pt>
                <c:pt idx="17">
                  <c:v>-7.02</c:v>
                </c:pt>
                <c:pt idx="18">
                  <c:v>-7.1886999999999999</c:v>
                </c:pt>
                <c:pt idx="19">
                  <c:v>-7.4474999999999998</c:v>
                </c:pt>
                <c:pt idx="20">
                  <c:v>-7.9649999999999999</c:v>
                </c:pt>
                <c:pt idx="21">
                  <c:v>-8.5050000000000008</c:v>
                </c:pt>
                <c:pt idx="22">
                  <c:v>-9.3863000000000003</c:v>
                </c:pt>
                <c:pt idx="23">
                  <c:v>-10.574999999999999</c:v>
                </c:pt>
                <c:pt idx="24">
                  <c:v>-11.895</c:v>
                </c:pt>
                <c:pt idx="25">
                  <c:v>-13.14</c:v>
                </c:pt>
                <c:pt idx="26">
                  <c:v>-14.2463</c:v>
                </c:pt>
                <c:pt idx="27">
                  <c:v>-15.071300000000001</c:v>
                </c:pt>
                <c:pt idx="28">
                  <c:v>-15.675000000000001</c:v>
                </c:pt>
                <c:pt idx="29">
                  <c:v>-16.327500000000001</c:v>
                </c:pt>
                <c:pt idx="30">
                  <c:v>-17.137499999999999</c:v>
                </c:pt>
                <c:pt idx="31">
                  <c:v>-17.996300000000002</c:v>
                </c:pt>
                <c:pt idx="32">
                  <c:v>-19.053799999999999</c:v>
                </c:pt>
                <c:pt idx="33">
                  <c:v>-20.4938</c:v>
                </c:pt>
                <c:pt idx="34">
                  <c:v>-21.675000000000001</c:v>
                </c:pt>
                <c:pt idx="35">
                  <c:v>-22.713799999999999</c:v>
                </c:pt>
                <c:pt idx="36">
                  <c:v>-23.786300000000001</c:v>
                </c:pt>
                <c:pt idx="37">
                  <c:v>-24.93</c:v>
                </c:pt>
                <c:pt idx="38">
                  <c:v>-26.212499999999999</c:v>
                </c:pt>
                <c:pt idx="39">
                  <c:v>-27.135000000000002</c:v>
                </c:pt>
                <c:pt idx="40">
                  <c:v>-27.941299999999998</c:v>
                </c:pt>
                <c:pt idx="41">
                  <c:v>-28.897500000000001</c:v>
                </c:pt>
                <c:pt idx="42">
                  <c:v>-30.135000000000002</c:v>
                </c:pt>
                <c:pt idx="43">
                  <c:v>-31.29</c:v>
                </c:pt>
                <c:pt idx="44">
                  <c:v>-32.253700000000002</c:v>
                </c:pt>
                <c:pt idx="45">
                  <c:v>-33.168700000000001</c:v>
                </c:pt>
                <c:pt idx="46">
                  <c:v>-34.271299999999997</c:v>
                </c:pt>
                <c:pt idx="47">
                  <c:v>-35.6175</c:v>
                </c:pt>
                <c:pt idx="48">
                  <c:v>-36.978700000000003</c:v>
                </c:pt>
                <c:pt idx="49">
                  <c:v>-38.204999999999998</c:v>
                </c:pt>
                <c:pt idx="50">
                  <c:v>-39.491199999999999</c:v>
                </c:pt>
                <c:pt idx="51">
                  <c:v>-40.905000000000001</c:v>
                </c:pt>
                <c:pt idx="52">
                  <c:v>-42.104999999999997</c:v>
                </c:pt>
                <c:pt idx="53">
                  <c:v>-42.513800000000003</c:v>
                </c:pt>
                <c:pt idx="54">
                  <c:v>-42.753799999999998</c:v>
                </c:pt>
                <c:pt idx="55">
                  <c:v>-42.933799999999998</c:v>
                </c:pt>
                <c:pt idx="56">
                  <c:v>-43.5</c:v>
                </c:pt>
                <c:pt idx="57">
                  <c:v>-44.347499999999997</c:v>
                </c:pt>
                <c:pt idx="58">
                  <c:v>-44.936300000000003</c:v>
                </c:pt>
                <c:pt idx="59">
                  <c:v>-45.558799999999998</c:v>
                </c:pt>
                <c:pt idx="60">
                  <c:v>-46.068800000000003</c:v>
                </c:pt>
                <c:pt idx="61">
                  <c:v>-46.1325</c:v>
                </c:pt>
                <c:pt idx="62">
                  <c:v>-46.181199999999997</c:v>
                </c:pt>
                <c:pt idx="63">
                  <c:v>-46.155000000000001</c:v>
                </c:pt>
              </c:numCache>
            </c:numRef>
          </c:xVal>
          <c:yVal>
            <c:numRef>
              <c:f>Hoja1!$L$4:$L$67</c:f>
              <c:numCache>
                <c:formatCode>General</c:formatCode>
                <c:ptCount val="64"/>
                <c:pt idx="0">
                  <c:v>-0.78</c:v>
                </c:pt>
                <c:pt idx="1">
                  <c:v>-0.78</c:v>
                </c:pt>
                <c:pt idx="2">
                  <c:v>-0.78</c:v>
                </c:pt>
                <c:pt idx="3">
                  <c:v>-0.78</c:v>
                </c:pt>
                <c:pt idx="4">
                  <c:v>-0.78</c:v>
                </c:pt>
                <c:pt idx="5">
                  <c:v>-0.78</c:v>
                </c:pt>
                <c:pt idx="6">
                  <c:v>-0.77</c:v>
                </c:pt>
                <c:pt idx="7">
                  <c:v>-0.78</c:v>
                </c:pt>
                <c:pt idx="8">
                  <c:v>-0.81</c:v>
                </c:pt>
                <c:pt idx="9">
                  <c:v>-0.8899999999999999</c:v>
                </c:pt>
                <c:pt idx="10">
                  <c:v>-1.06</c:v>
                </c:pt>
                <c:pt idx="11">
                  <c:v>-1.29</c:v>
                </c:pt>
                <c:pt idx="12">
                  <c:v>-1.51</c:v>
                </c:pt>
                <c:pt idx="13">
                  <c:v>-1.7</c:v>
                </c:pt>
                <c:pt idx="14">
                  <c:v>-1.85</c:v>
                </c:pt>
                <c:pt idx="15">
                  <c:v>-1.96</c:v>
                </c:pt>
                <c:pt idx="16">
                  <c:v>-2.02</c:v>
                </c:pt>
                <c:pt idx="17">
                  <c:v>-2.0799999999999996</c:v>
                </c:pt>
                <c:pt idx="18">
                  <c:v>-2.1599999999999997</c:v>
                </c:pt>
                <c:pt idx="19">
                  <c:v>-2.29</c:v>
                </c:pt>
                <c:pt idx="20">
                  <c:v>-2.46</c:v>
                </c:pt>
                <c:pt idx="21">
                  <c:v>-2.69</c:v>
                </c:pt>
                <c:pt idx="22">
                  <c:v>-2.98</c:v>
                </c:pt>
                <c:pt idx="23">
                  <c:v>-3.2199999999999998</c:v>
                </c:pt>
                <c:pt idx="24">
                  <c:v>-3.36</c:v>
                </c:pt>
                <c:pt idx="25">
                  <c:v>-3.3899999999999997</c:v>
                </c:pt>
                <c:pt idx="26">
                  <c:v>-3.3899999999999997</c:v>
                </c:pt>
                <c:pt idx="27">
                  <c:v>-3.38</c:v>
                </c:pt>
                <c:pt idx="28">
                  <c:v>-3.3699999999999997</c:v>
                </c:pt>
                <c:pt idx="29">
                  <c:v>-3.3699999999999997</c:v>
                </c:pt>
                <c:pt idx="30">
                  <c:v>-3.3699999999999997</c:v>
                </c:pt>
                <c:pt idx="31">
                  <c:v>-3.38</c:v>
                </c:pt>
                <c:pt idx="32">
                  <c:v>-3.3699999999999997</c:v>
                </c:pt>
                <c:pt idx="33">
                  <c:v>-3.31</c:v>
                </c:pt>
                <c:pt idx="34">
                  <c:v>-3.19</c:v>
                </c:pt>
                <c:pt idx="35">
                  <c:v>-2.96</c:v>
                </c:pt>
                <c:pt idx="36">
                  <c:v>-2.6799999999999997</c:v>
                </c:pt>
                <c:pt idx="37">
                  <c:v>-2.34</c:v>
                </c:pt>
                <c:pt idx="38">
                  <c:v>-2.02</c:v>
                </c:pt>
                <c:pt idx="39">
                  <c:v>-1.83</c:v>
                </c:pt>
                <c:pt idx="40">
                  <c:v>-1.6300000000000001</c:v>
                </c:pt>
                <c:pt idx="41">
                  <c:v>-1.3800000000000001</c:v>
                </c:pt>
                <c:pt idx="42">
                  <c:v>-1.21</c:v>
                </c:pt>
                <c:pt idx="43">
                  <c:v>-1.08</c:v>
                </c:pt>
                <c:pt idx="44">
                  <c:v>-0.97</c:v>
                </c:pt>
                <c:pt idx="45">
                  <c:v>-0.84000000000000008</c:v>
                </c:pt>
                <c:pt idx="46">
                  <c:v>-0.71</c:v>
                </c:pt>
                <c:pt idx="47">
                  <c:v>-0.6100000000000001</c:v>
                </c:pt>
                <c:pt idx="48">
                  <c:v>-0.5</c:v>
                </c:pt>
                <c:pt idx="49">
                  <c:v>-0.43</c:v>
                </c:pt>
                <c:pt idx="50">
                  <c:v>-0.36</c:v>
                </c:pt>
                <c:pt idx="51">
                  <c:v>-0.31</c:v>
                </c:pt>
                <c:pt idx="52">
                  <c:v>-0.29000000000000004</c:v>
                </c:pt>
                <c:pt idx="53">
                  <c:v>-0.28000000000000003</c:v>
                </c:pt>
                <c:pt idx="54">
                  <c:v>-0.28000000000000003</c:v>
                </c:pt>
                <c:pt idx="55">
                  <c:v>-0.27</c:v>
                </c:pt>
                <c:pt idx="56">
                  <c:v>-0.25</c:v>
                </c:pt>
                <c:pt idx="57">
                  <c:v>-0.24000000000000002</c:v>
                </c:pt>
                <c:pt idx="58">
                  <c:v>-0.23</c:v>
                </c:pt>
                <c:pt idx="59">
                  <c:v>-0.22</c:v>
                </c:pt>
                <c:pt idx="60">
                  <c:v>-0.22</c:v>
                </c:pt>
                <c:pt idx="61">
                  <c:v>-0.22</c:v>
                </c:pt>
                <c:pt idx="62">
                  <c:v>-0.22</c:v>
                </c:pt>
                <c:pt idx="63">
                  <c:v>-0.21000000000000002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9F-43A4-BB87-543296253151}"/>
            </c:ext>
          </c:extLst>
        </c:ser>
        <c:ser>
          <c:idx val="1"/>
          <c:order val="1"/>
          <c:tx>
            <c:v>Teórica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Hoja1!$K$4:$K$67</c:f>
              <c:numCache>
                <c:formatCode>General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-3.7000000000000002E-3</c:v>
                </c:pt>
                <c:pt idx="6">
                  <c:v>-3.7000000000000002E-3</c:v>
                </c:pt>
                <c:pt idx="7">
                  <c:v>-3.7000000000000002E-3</c:v>
                </c:pt>
                <c:pt idx="8">
                  <c:v>-5.6300000000000003E-2</c:v>
                </c:pt>
                <c:pt idx="9">
                  <c:v>-0.30380000000000001</c:v>
                </c:pt>
                <c:pt idx="10">
                  <c:v>-1.2938000000000001</c:v>
                </c:pt>
                <c:pt idx="11">
                  <c:v>-2.6438000000000001</c:v>
                </c:pt>
                <c:pt idx="12">
                  <c:v>-3.99</c:v>
                </c:pt>
                <c:pt idx="13">
                  <c:v>-5.0625</c:v>
                </c:pt>
                <c:pt idx="14">
                  <c:v>-5.8425000000000002</c:v>
                </c:pt>
                <c:pt idx="15">
                  <c:v>-6.4950000000000001</c:v>
                </c:pt>
                <c:pt idx="16">
                  <c:v>-6.8662000000000001</c:v>
                </c:pt>
                <c:pt idx="17">
                  <c:v>-7.02</c:v>
                </c:pt>
                <c:pt idx="18">
                  <c:v>-7.1886999999999999</c:v>
                </c:pt>
                <c:pt idx="19">
                  <c:v>-7.4474999999999998</c:v>
                </c:pt>
                <c:pt idx="20">
                  <c:v>-7.9649999999999999</c:v>
                </c:pt>
                <c:pt idx="21">
                  <c:v>-8.5050000000000008</c:v>
                </c:pt>
                <c:pt idx="22">
                  <c:v>-9.3863000000000003</c:v>
                </c:pt>
                <c:pt idx="23">
                  <c:v>-10.574999999999999</c:v>
                </c:pt>
                <c:pt idx="24">
                  <c:v>-11.895</c:v>
                </c:pt>
                <c:pt idx="25">
                  <c:v>-13.14</c:v>
                </c:pt>
                <c:pt idx="26">
                  <c:v>-14.2463</c:v>
                </c:pt>
                <c:pt idx="27">
                  <c:v>-15.071300000000001</c:v>
                </c:pt>
                <c:pt idx="28">
                  <c:v>-15.675000000000001</c:v>
                </c:pt>
                <c:pt idx="29">
                  <c:v>-16.327500000000001</c:v>
                </c:pt>
                <c:pt idx="30">
                  <c:v>-17.137499999999999</c:v>
                </c:pt>
                <c:pt idx="31">
                  <c:v>-17.996300000000002</c:v>
                </c:pt>
                <c:pt idx="32">
                  <c:v>-19.053799999999999</c:v>
                </c:pt>
                <c:pt idx="33">
                  <c:v>-20.4938</c:v>
                </c:pt>
                <c:pt idx="34">
                  <c:v>-21.675000000000001</c:v>
                </c:pt>
                <c:pt idx="35">
                  <c:v>-22.713799999999999</c:v>
                </c:pt>
                <c:pt idx="36">
                  <c:v>-23.786300000000001</c:v>
                </c:pt>
                <c:pt idx="37">
                  <c:v>-24.93</c:v>
                </c:pt>
                <c:pt idx="38">
                  <c:v>-26.212499999999999</c:v>
                </c:pt>
                <c:pt idx="39">
                  <c:v>-27.135000000000002</c:v>
                </c:pt>
                <c:pt idx="40">
                  <c:v>-27.941299999999998</c:v>
                </c:pt>
                <c:pt idx="41">
                  <c:v>-28.897500000000001</c:v>
                </c:pt>
                <c:pt idx="42">
                  <c:v>-30.135000000000002</c:v>
                </c:pt>
                <c:pt idx="43">
                  <c:v>-31.29</c:v>
                </c:pt>
                <c:pt idx="44">
                  <c:v>-32.253700000000002</c:v>
                </c:pt>
                <c:pt idx="45">
                  <c:v>-33.168700000000001</c:v>
                </c:pt>
                <c:pt idx="46">
                  <c:v>-34.271299999999997</c:v>
                </c:pt>
                <c:pt idx="47">
                  <c:v>-35.6175</c:v>
                </c:pt>
                <c:pt idx="48">
                  <c:v>-36.978700000000003</c:v>
                </c:pt>
                <c:pt idx="49">
                  <c:v>-38.204999999999998</c:v>
                </c:pt>
                <c:pt idx="50">
                  <c:v>-39.491199999999999</c:v>
                </c:pt>
                <c:pt idx="51">
                  <c:v>-40.905000000000001</c:v>
                </c:pt>
                <c:pt idx="52">
                  <c:v>-42.104999999999997</c:v>
                </c:pt>
                <c:pt idx="53">
                  <c:v>-42.513800000000003</c:v>
                </c:pt>
                <c:pt idx="54">
                  <c:v>-42.753799999999998</c:v>
                </c:pt>
                <c:pt idx="55">
                  <c:v>-42.933799999999998</c:v>
                </c:pt>
                <c:pt idx="56">
                  <c:v>-43.5</c:v>
                </c:pt>
                <c:pt idx="57">
                  <c:v>-44.347499999999997</c:v>
                </c:pt>
                <c:pt idx="58">
                  <c:v>-44.936300000000003</c:v>
                </c:pt>
                <c:pt idx="59">
                  <c:v>-45.558799999999998</c:v>
                </c:pt>
                <c:pt idx="60">
                  <c:v>-46.068800000000003</c:v>
                </c:pt>
                <c:pt idx="61">
                  <c:v>-46.1325</c:v>
                </c:pt>
                <c:pt idx="62">
                  <c:v>-46.181199999999997</c:v>
                </c:pt>
                <c:pt idx="63">
                  <c:v>-46.155000000000001</c:v>
                </c:pt>
              </c:numCache>
            </c:numRef>
          </c:xVal>
          <c:yVal>
            <c:numRef>
              <c:f>Hoja1!$M$4:$M$67</c:f>
              <c:numCache>
                <c:formatCode>General</c:formatCode>
                <c:ptCount val="64"/>
                <c:pt idx="0">
                  <c:v>3.5967051381830162</c:v>
                </c:pt>
                <c:pt idx="1">
                  <c:v>3.5967051381830162</c:v>
                </c:pt>
                <c:pt idx="2">
                  <c:v>3.5967051381830162</c:v>
                </c:pt>
                <c:pt idx="3">
                  <c:v>3.5967051381830162</c:v>
                </c:pt>
                <c:pt idx="4">
                  <c:v>3.5967051381830162</c:v>
                </c:pt>
                <c:pt idx="5">
                  <c:v>3.5967051381829398</c:v>
                </c:pt>
                <c:pt idx="6">
                  <c:v>3.5967051381829398</c:v>
                </c:pt>
                <c:pt idx="7">
                  <c:v>3.5967051381829398</c:v>
                </c:pt>
                <c:pt idx="8">
                  <c:v>3.5967051340203096</c:v>
                </c:pt>
                <c:pt idx="9">
                  <c:v>3.5967016122882933</c:v>
                </c:pt>
                <c:pt idx="10">
                  <c:v>3.5955653263596972</c:v>
                </c:pt>
                <c:pt idx="11">
                  <c:v>3.5779756516872361</c:v>
                </c:pt>
                <c:pt idx="12">
                  <c:v>3.5089430355064826</c:v>
                </c:pt>
                <c:pt idx="13">
                  <c:v>3.3934120266624759</c:v>
                </c:pt>
                <c:pt idx="14">
                  <c:v>3.2699490570251237</c:v>
                </c:pt>
                <c:pt idx="15">
                  <c:v>3.1419157522655494</c:v>
                </c:pt>
                <c:pt idx="16">
                  <c:v>3.0600408568460855</c:v>
                </c:pt>
                <c:pt idx="17">
                  <c:v>3.0244022780565323</c:v>
                </c:pt>
                <c:pt idx="18">
                  <c:v>2.9842504032370836</c:v>
                </c:pt>
                <c:pt idx="19">
                  <c:v>2.920671477744508</c:v>
                </c:pt>
                <c:pt idx="20">
                  <c:v>2.787427522133004</c:v>
                </c:pt>
                <c:pt idx="21">
                  <c:v>2.6419431364275878</c:v>
                </c:pt>
                <c:pt idx="22">
                  <c:v>2.3975396453565674</c:v>
                </c:pt>
                <c:pt idx="23">
                  <c:v>2.0710463751629864</c:v>
                </c:pt>
                <c:pt idx="24">
                  <c:v>1.734522060833009</c:v>
                </c:pt>
                <c:pt idx="25">
                  <c:v>1.4551462733165501</c:v>
                </c:pt>
                <c:pt idx="26">
                  <c:v>1.2411472335275378</c:v>
                </c:pt>
                <c:pt idx="27">
                  <c:v>1.1020049534986167</c:v>
                </c:pt>
                <c:pt idx="28">
                  <c:v>1.0105443562416698</c:v>
                </c:pt>
                <c:pt idx="29">
                  <c:v>0.92082000224807781</c:v>
                </c:pt>
                <c:pt idx="30">
                  <c:v>0.82152247517799593</c:v>
                </c:pt>
                <c:pt idx="31">
                  <c:v>0.72934238182342226</c:v>
                </c:pt>
                <c:pt idx="32">
                  <c:v>0.63194473254072003</c:v>
                </c:pt>
                <c:pt idx="33">
                  <c:v>0.52316286265898249</c:v>
                </c:pt>
                <c:pt idx="34">
                  <c:v>0.4506138989706665</c:v>
                </c:pt>
                <c:pt idx="35">
                  <c:v>0.39686812242418529</c:v>
                </c:pt>
                <c:pt idx="36">
                  <c:v>0.34954541923342819</c:v>
                </c:pt>
                <c:pt idx="37">
                  <c:v>0.30667175556650672</c:v>
                </c:pt>
                <c:pt idx="38">
                  <c:v>0.26624764413968793</c:v>
                </c:pt>
                <c:pt idx="39">
                  <c:v>0.24132255250994394</c:v>
                </c:pt>
                <c:pt idx="40">
                  <c:v>0.22194924810207045</c:v>
                </c:pt>
                <c:pt idx="41">
                  <c:v>0.20150112591503191</c:v>
                </c:pt>
                <c:pt idx="42">
                  <c:v>0.17851948734655454</c:v>
                </c:pt>
                <c:pt idx="43">
                  <c:v>0.16005757534471626</c:v>
                </c:pt>
                <c:pt idx="44">
                  <c:v>0.14651925598026186</c:v>
                </c:pt>
                <c:pt idx="45">
                  <c:v>0.13501946809307094</c:v>
                </c:pt>
                <c:pt idx="46">
                  <c:v>0.12268320951722228</c:v>
                </c:pt>
                <c:pt idx="47">
                  <c:v>0.10955151865894856</c:v>
                </c:pt>
                <c:pt idx="48">
                  <c:v>9.809096926292582E-2</c:v>
                </c:pt>
                <c:pt idx="49">
                  <c:v>8.9082665132959427E-2</c:v>
                </c:pt>
                <c:pt idx="50">
                  <c:v>8.0771007208790269E-2</c:v>
                </c:pt>
                <c:pt idx="51">
                  <c:v>7.2776610199793368E-2</c:v>
                </c:pt>
                <c:pt idx="52">
                  <c:v>6.6793159036443867E-2</c:v>
                </c:pt>
                <c:pt idx="53">
                  <c:v>6.4903976975149533E-2</c:v>
                </c:pt>
                <c:pt idx="54">
                  <c:v>6.382773669826626E-2</c:v>
                </c:pt>
                <c:pt idx="55">
                  <c:v>6.3036017093508534E-2</c:v>
                </c:pt>
                <c:pt idx="56">
                  <c:v>6.0628866169211176E-2</c:v>
                </c:pt>
                <c:pt idx="57">
                  <c:v>5.7248254101054108E-2</c:v>
                </c:pt>
                <c:pt idx="58">
                  <c:v>5.5045371348398264E-2</c:v>
                </c:pt>
                <c:pt idx="59">
                  <c:v>5.2836953783251206E-2</c:v>
                </c:pt>
                <c:pt idx="60">
                  <c:v>5.1114419705911018E-2</c:v>
                </c:pt>
                <c:pt idx="61">
                  <c:v>5.090453109070156E-2</c:v>
                </c:pt>
                <c:pt idx="62">
                  <c:v>5.07448372600676E-2</c:v>
                </c:pt>
                <c:pt idx="63">
                  <c:v>5.0830667852886681E-2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89F-43A4-BB87-543296253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635112"/>
        <c:axId val="490639048"/>
      </c:scatterChart>
      <c:valAx>
        <c:axId val="490635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0639048"/>
        <c:crosses val="autoZero"/>
        <c:crossBetween val="midCat"/>
      </c:valAx>
      <c:valAx>
        <c:axId val="490639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0635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Experimental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Hoja2!$B$5:$B$49</c:f>
              <c:numCache>
                <c:formatCode>General</c:formatCode>
                <c:ptCount val="45"/>
                <c:pt idx="0">
                  <c:v>-3.7000000000000002E-3</c:v>
                </c:pt>
                <c:pt idx="1">
                  <c:v>-0.28129999999999999</c:v>
                </c:pt>
                <c:pt idx="2">
                  <c:v>-1.3388</c:v>
                </c:pt>
                <c:pt idx="3">
                  <c:v>-2.2949999999999999</c:v>
                </c:pt>
                <c:pt idx="4">
                  <c:v>-3.6</c:v>
                </c:pt>
                <c:pt idx="5">
                  <c:v>-5.04</c:v>
                </c:pt>
                <c:pt idx="6">
                  <c:v>-6.7649999999999997</c:v>
                </c:pt>
                <c:pt idx="7">
                  <c:v>-8.5686999999999998</c:v>
                </c:pt>
                <c:pt idx="8">
                  <c:v>-10.1812</c:v>
                </c:pt>
                <c:pt idx="9">
                  <c:v>-11.715</c:v>
                </c:pt>
                <c:pt idx="10">
                  <c:v>-12.952500000000001</c:v>
                </c:pt>
                <c:pt idx="11">
                  <c:v>-13.875</c:v>
                </c:pt>
                <c:pt idx="12">
                  <c:v>-14.595000000000001</c:v>
                </c:pt>
                <c:pt idx="13">
                  <c:v>-15.4125</c:v>
                </c:pt>
                <c:pt idx="14">
                  <c:v>-16.574999999999999</c:v>
                </c:pt>
                <c:pt idx="15">
                  <c:v>-17.9925</c:v>
                </c:pt>
                <c:pt idx="16">
                  <c:v>-19.3538</c:v>
                </c:pt>
                <c:pt idx="17">
                  <c:v>-20.842500000000001</c:v>
                </c:pt>
                <c:pt idx="18">
                  <c:v>-22.717500000000001</c:v>
                </c:pt>
                <c:pt idx="19">
                  <c:v>-24.5213</c:v>
                </c:pt>
                <c:pt idx="20">
                  <c:v>-25.844999999999999</c:v>
                </c:pt>
                <c:pt idx="21">
                  <c:v>-27.015000000000001</c:v>
                </c:pt>
                <c:pt idx="22">
                  <c:v>-28.177499999999998</c:v>
                </c:pt>
                <c:pt idx="23">
                  <c:v>-29.283799999999999</c:v>
                </c:pt>
                <c:pt idx="24">
                  <c:v>-30.375</c:v>
                </c:pt>
                <c:pt idx="25">
                  <c:v>-31.4663</c:v>
                </c:pt>
                <c:pt idx="26">
                  <c:v>-32.43</c:v>
                </c:pt>
                <c:pt idx="27">
                  <c:v>-33.247500000000002</c:v>
                </c:pt>
                <c:pt idx="28">
                  <c:v>-34.773800000000001</c:v>
                </c:pt>
                <c:pt idx="29">
                  <c:v>-36.622500000000002</c:v>
                </c:pt>
                <c:pt idx="30">
                  <c:v>-38.332500000000003</c:v>
                </c:pt>
                <c:pt idx="31">
                  <c:v>-39.836199999999998</c:v>
                </c:pt>
                <c:pt idx="32">
                  <c:v>-40.766199999999998</c:v>
                </c:pt>
                <c:pt idx="33">
                  <c:v>-40.994999999999997</c:v>
                </c:pt>
                <c:pt idx="34">
                  <c:v>-41.107500000000002</c:v>
                </c:pt>
                <c:pt idx="35">
                  <c:v>-41.384999999999998</c:v>
                </c:pt>
                <c:pt idx="36">
                  <c:v>-42.123699999999999</c:v>
                </c:pt>
                <c:pt idx="37">
                  <c:v>-42.791200000000003</c:v>
                </c:pt>
                <c:pt idx="38">
                  <c:v>-43.728700000000003</c:v>
                </c:pt>
                <c:pt idx="39">
                  <c:v>-44.426299999999998</c:v>
                </c:pt>
                <c:pt idx="40">
                  <c:v>-44.79</c:v>
                </c:pt>
                <c:pt idx="41">
                  <c:v>-45.015000000000001</c:v>
                </c:pt>
                <c:pt idx="42">
                  <c:v>-45.48</c:v>
                </c:pt>
                <c:pt idx="43">
                  <c:v>-45.54</c:v>
                </c:pt>
                <c:pt idx="44">
                  <c:v>-45.626199999999997</c:v>
                </c:pt>
              </c:numCache>
            </c:numRef>
          </c:xVal>
          <c:yVal>
            <c:numRef>
              <c:f>Hoja2!$C$5:$C$49</c:f>
              <c:numCache>
                <c:formatCode>General</c:formatCode>
                <c:ptCount val="45"/>
                <c:pt idx="0">
                  <c:v>-0.85000000000000009</c:v>
                </c:pt>
                <c:pt idx="1">
                  <c:v>-0.96</c:v>
                </c:pt>
                <c:pt idx="2">
                  <c:v>-1.0900000000000001</c:v>
                </c:pt>
                <c:pt idx="3">
                  <c:v>-1.31</c:v>
                </c:pt>
                <c:pt idx="4">
                  <c:v>-1.55</c:v>
                </c:pt>
                <c:pt idx="5">
                  <c:v>-1.9200000000000002</c:v>
                </c:pt>
                <c:pt idx="6">
                  <c:v>-2.3899999999999997</c:v>
                </c:pt>
                <c:pt idx="7">
                  <c:v>-2.73</c:v>
                </c:pt>
                <c:pt idx="8">
                  <c:v>-2.9</c:v>
                </c:pt>
                <c:pt idx="9">
                  <c:v>-2.92</c:v>
                </c:pt>
                <c:pt idx="10">
                  <c:v>-2.8499999999999996</c:v>
                </c:pt>
                <c:pt idx="11">
                  <c:v>-2.7399999999999998</c:v>
                </c:pt>
                <c:pt idx="12">
                  <c:v>-2.65</c:v>
                </c:pt>
                <c:pt idx="13">
                  <c:v>-2.5299999999999998</c:v>
                </c:pt>
                <c:pt idx="14">
                  <c:v>-2.42</c:v>
                </c:pt>
                <c:pt idx="15">
                  <c:v>-2.4</c:v>
                </c:pt>
                <c:pt idx="16">
                  <c:v>-2.48</c:v>
                </c:pt>
                <c:pt idx="17">
                  <c:v>-2.6799999999999997</c:v>
                </c:pt>
                <c:pt idx="18">
                  <c:v>-2.8499999999999996</c:v>
                </c:pt>
                <c:pt idx="19">
                  <c:v>-2.8899999999999997</c:v>
                </c:pt>
                <c:pt idx="20">
                  <c:v>-2.8</c:v>
                </c:pt>
                <c:pt idx="21">
                  <c:v>-2.5999999999999996</c:v>
                </c:pt>
                <c:pt idx="22">
                  <c:v>-2.3499999999999996</c:v>
                </c:pt>
                <c:pt idx="23">
                  <c:v>-2.0499999999999998</c:v>
                </c:pt>
                <c:pt idx="24">
                  <c:v>-1.81</c:v>
                </c:pt>
                <c:pt idx="25">
                  <c:v>-1.6300000000000001</c:v>
                </c:pt>
                <c:pt idx="26">
                  <c:v>-1.47</c:v>
                </c:pt>
                <c:pt idx="27">
                  <c:v>-1.2</c:v>
                </c:pt>
                <c:pt idx="28">
                  <c:v>-0.95</c:v>
                </c:pt>
                <c:pt idx="29">
                  <c:v>-0.75</c:v>
                </c:pt>
                <c:pt idx="30">
                  <c:v>-0.60000000000000009</c:v>
                </c:pt>
                <c:pt idx="31">
                  <c:v>-0.53</c:v>
                </c:pt>
                <c:pt idx="32">
                  <c:v>-0.5</c:v>
                </c:pt>
                <c:pt idx="33">
                  <c:v>-0.49</c:v>
                </c:pt>
                <c:pt idx="34">
                  <c:v>-0.46</c:v>
                </c:pt>
                <c:pt idx="35">
                  <c:v>-0.43</c:v>
                </c:pt>
                <c:pt idx="36">
                  <c:v>-0.39</c:v>
                </c:pt>
                <c:pt idx="37">
                  <c:v>-0.35000000000000003</c:v>
                </c:pt>
                <c:pt idx="38">
                  <c:v>-0.33</c:v>
                </c:pt>
                <c:pt idx="39">
                  <c:v>-0.32</c:v>
                </c:pt>
                <c:pt idx="40">
                  <c:v>-0.32</c:v>
                </c:pt>
                <c:pt idx="41">
                  <c:v>-0.31</c:v>
                </c:pt>
                <c:pt idx="42">
                  <c:v>-0.31</c:v>
                </c:pt>
                <c:pt idx="43">
                  <c:v>-0.31</c:v>
                </c:pt>
                <c:pt idx="44">
                  <c:v>-0.31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79E-4F25-9E68-24040B7A8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104792"/>
        <c:axId val="495100856"/>
      </c:scatterChart>
      <c:valAx>
        <c:axId val="495104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5100856"/>
        <c:crosses val="autoZero"/>
        <c:crossBetween val="midCat"/>
      </c:valAx>
      <c:valAx>
        <c:axId val="495100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95104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223837</xdr:colOff>
      <xdr:row>6</xdr:row>
      <xdr:rowOff>114300</xdr:rowOff>
    </xdr:from>
    <xdr:to>
      <xdr:col>17</xdr:col>
      <xdr:colOff>223837</xdr:colOff>
      <xdr:row>21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614362</xdr:colOff>
      <xdr:row>9</xdr:row>
      <xdr:rowOff>71437</xdr:rowOff>
    </xdr:from>
    <xdr:to>
      <xdr:col>10</xdr:col>
      <xdr:colOff>614362</xdr:colOff>
      <xdr:row>23</xdr:row>
      <xdr:rowOff>147637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300037</xdr:colOff>
      <xdr:row>5</xdr:row>
      <xdr:rowOff>109537</xdr:rowOff>
    </xdr:from>
    <xdr:to>
      <xdr:col>19</xdr:col>
      <xdr:colOff>300037</xdr:colOff>
      <xdr:row>19</xdr:row>
      <xdr:rowOff>185737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614362</xdr:colOff>
      <xdr:row>9</xdr:row>
      <xdr:rowOff>71437</xdr:rowOff>
    </xdr:from>
    <xdr:to>
      <xdr:col>12</xdr:col>
      <xdr:colOff>614362</xdr:colOff>
      <xdr:row>23</xdr:row>
      <xdr:rowOff>147637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5"/>
  <sheetViews>
    <sheetView topLeftCell="D1" workbookViewId="0">
      <selection activeCell="N2" sqref="N2"/>
    </sheetView>
  </sheetViews>
  <sheetFormatPr baseColWidth="10" defaultRowHeight="15" x14ac:dyDescent="0.25"/>
  <sheetData>
    <row r="1" spans="1:16" x14ac:dyDescent="0.25">
      <c r="A1" t="s">
        <v>0</v>
      </c>
      <c r="C1" t="s">
        <v>1</v>
      </c>
      <c r="G1" t="s">
        <v>2</v>
      </c>
      <c r="I1" t="s">
        <v>3</v>
      </c>
      <c r="L1" t="s">
        <v>1</v>
      </c>
      <c r="N1" t="s">
        <v>4</v>
      </c>
      <c r="O1" t="s">
        <v>5</v>
      </c>
      <c r="P1" t="s">
        <v>6</v>
      </c>
    </row>
    <row r="2" spans="1:16" x14ac:dyDescent="0.25">
      <c r="A2" t="s">
        <v>7</v>
      </c>
      <c r="B2" t="s">
        <v>8</v>
      </c>
      <c r="G2" t="s">
        <v>9</v>
      </c>
      <c r="H2" t="s">
        <v>8</v>
      </c>
      <c r="J2" t="s">
        <v>10</v>
      </c>
      <c r="K2">
        <v>-7.5</v>
      </c>
      <c r="L2" t="s">
        <v>11</v>
      </c>
      <c r="M2" t="s">
        <v>12</v>
      </c>
      <c r="N2">
        <v>0.12566370599999999</v>
      </c>
      <c r="O2">
        <v>10.199999999999999</v>
      </c>
      <c r="P2">
        <v>1.5</v>
      </c>
    </row>
    <row r="3" spans="1:16" x14ac:dyDescent="0.25">
      <c r="A3" t="s">
        <v>8</v>
      </c>
      <c r="B3" t="s">
        <v>13</v>
      </c>
      <c r="G3" t="s">
        <v>8</v>
      </c>
      <c r="H3" t="s">
        <v>13</v>
      </c>
      <c r="P3">
        <v>1</v>
      </c>
    </row>
    <row r="4" spans="1:16" x14ac:dyDescent="0.25">
      <c r="A4" t="s">
        <v>14</v>
      </c>
      <c r="D4" t="s">
        <v>15</v>
      </c>
      <c r="G4" t="s">
        <v>14</v>
      </c>
      <c r="J4" t="s">
        <v>15</v>
      </c>
    </row>
    <row r="5" spans="1:16" x14ac:dyDescent="0.25">
      <c r="A5">
        <v>-2.0699999999999998</v>
      </c>
      <c r="B5">
        <v>0</v>
      </c>
      <c r="C5">
        <v>2.4159160100000001</v>
      </c>
      <c r="D5">
        <v>7.5</v>
      </c>
      <c r="E5">
        <v>-2.4159160100000001</v>
      </c>
      <c r="G5">
        <v>-1.59</v>
      </c>
      <c r="H5">
        <v>-7.8700000000000006E-2</v>
      </c>
      <c r="I5">
        <v>1.6284734839999999</v>
      </c>
      <c r="J5">
        <v>7.4212999999999996</v>
      </c>
      <c r="K5">
        <v>-1.6284734839999999</v>
      </c>
    </row>
    <row r="6" spans="1:16" x14ac:dyDescent="0.25">
      <c r="A6">
        <v>-2.0699999999999998</v>
      </c>
      <c r="B6">
        <v>0</v>
      </c>
      <c r="C6">
        <v>2.4159160100000001</v>
      </c>
      <c r="D6">
        <v>7.5</v>
      </c>
      <c r="E6">
        <v>-2.4159160100000001</v>
      </c>
      <c r="G6">
        <v>-1.59</v>
      </c>
      <c r="H6">
        <v>-0.13500000000000001</v>
      </c>
      <c r="I6">
        <v>1.6413374570000001</v>
      </c>
      <c r="J6">
        <v>7.3650000000000002</v>
      </c>
      <c r="K6">
        <v>-1.6413374570000001</v>
      </c>
    </row>
    <row r="7" spans="1:16" x14ac:dyDescent="0.25">
      <c r="A7">
        <v>-2.0699999999999998</v>
      </c>
      <c r="B7">
        <v>-1.12E-2</v>
      </c>
      <c r="C7">
        <v>2.4197163330000002</v>
      </c>
      <c r="D7">
        <v>7.4888000000000003</v>
      </c>
      <c r="E7">
        <v>-2.4197163330000002</v>
      </c>
      <c r="G7">
        <v>-1.62</v>
      </c>
      <c r="H7">
        <v>-0.2175</v>
      </c>
      <c r="I7">
        <v>1.660314716</v>
      </c>
      <c r="J7">
        <v>7.2824999999999998</v>
      </c>
      <c r="K7">
        <v>-1.660314716</v>
      </c>
    </row>
    <row r="8" spans="1:16" x14ac:dyDescent="0.25">
      <c r="A8">
        <v>-2.0699999999999998</v>
      </c>
      <c r="B8">
        <v>-8.2500000000000004E-2</v>
      </c>
      <c r="C8">
        <v>2.4440092729999998</v>
      </c>
      <c r="D8">
        <v>7.4175000000000004</v>
      </c>
      <c r="E8">
        <v>-2.4440092729999998</v>
      </c>
      <c r="G8">
        <v>-1.7</v>
      </c>
      <c r="H8">
        <v>-0.62619999999999998</v>
      </c>
      <c r="I8">
        <v>1.756461534</v>
      </c>
      <c r="J8">
        <v>6.8738000000000001</v>
      </c>
      <c r="K8">
        <v>-1.756461534</v>
      </c>
    </row>
    <row r="9" spans="1:16" x14ac:dyDescent="0.25">
      <c r="A9">
        <v>-2.09</v>
      </c>
      <c r="B9">
        <v>-0.19500000000000001</v>
      </c>
      <c r="C9">
        <v>2.4826863910000001</v>
      </c>
      <c r="D9">
        <v>7.3049999999999997</v>
      </c>
      <c r="E9">
        <v>-2.4826863910000001</v>
      </c>
      <c r="G9">
        <v>-1.8</v>
      </c>
      <c r="H9">
        <v>-1.0311999999999999</v>
      </c>
      <c r="I9">
        <v>1.8549516290000001</v>
      </c>
      <c r="J9">
        <v>6.4687999999999999</v>
      </c>
      <c r="K9">
        <v>-1.8549516290000001</v>
      </c>
    </row>
    <row r="10" spans="1:16" x14ac:dyDescent="0.25">
      <c r="A10">
        <v>-2.11</v>
      </c>
      <c r="B10">
        <v>-0.2437</v>
      </c>
      <c r="C10">
        <v>2.4995589470000001</v>
      </c>
      <c r="D10">
        <v>7.2563000000000004</v>
      </c>
      <c r="E10">
        <v>-2.4995589470000001</v>
      </c>
      <c r="G10">
        <v>-1.84</v>
      </c>
      <c r="H10">
        <v>-1.2150000000000001</v>
      </c>
      <c r="I10">
        <v>1.900576013</v>
      </c>
      <c r="J10">
        <v>6.2850000000000001</v>
      </c>
      <c r="K10">
        <v>-1.900576013</v>
      </c>
    </row>
    <row r="11" spans="1:16" x14ac:dyDescent="0.25">
      <c r="A11">
        <v>-2.14</v>
      </c>
      <c r="B11">
        <v>-0.30370000000000003</v>
      </c>
      <c r="C11">
        <v>2.52045254</v>
      </c>
      <c r="D11">
        <v>7.1962999999999999</v>
      </c>
      <c r="E11">
        <v>-2.52045254</v>
      </c>
      <c r="G11">
        <v>-1.9</v>
      </c>
      <c r="H11">
        <v>-1.4887999999999999</v>
      </c>
      <c r="I11">
        <v>1.969457324</v>
      </c>
      <c r="J11">
        <v>6.0111999999999997</v>
      </c>
      <c r="K11">
        <v>-1.969457324</v>
      </c>
    </row>
    <row r="12" spans="1:16" x14ac:dyDescent="0.25">
      <c r="A12">
        <v>-2.15</v>
      </c>
      <c r="B12">
        <v>-0.32250000000000001</v>
      </c>
      <c r="C12">
        <v>2.5270230570000001</v>
      </c>
      <c r="D12">
        <v>7.1775000000000002</v>
      </c>
      <c r="E12">
        <v>-2.5270230570000001</v>
      </c>
      <c r="G12">
        <v>-2.06</v>
      </c>
      <c r="H12">
        <v>-2.0886999999999998</v>
      </c>
      <c r="I12">
        <v>2.1232281660000001</v>
      </c>
      <c r="J12">
        <v>5.4112999999999998</v>
      </c>
      <c r="K12">
        <v>-2.1232281660000001</v>
      </c>
    </row>
    <row r="13" spans="1:16" x14ac:dyDescent="0.25">
      <c r="A13">
        <v>-2.17</v>
      </c>
      <c r="B13">
        <v>-0.41620000000000001</v>
      </c>
      <c r="C13">
        <v>2.559938238</v>
      </c>
      <c r="D13">
        <v>7.0838000000000001</v>
      </c>
      <c r="E13">
        <v>-2.559938238</v>
      </c>
      <c r="G13">
        <v>-2.2599999999999998</v>
      </c>
      <c r="H13">
        <v>-2.8125</v>
      </c>
      <c r="I13">
        <v>2.3106223340000001</v>
      </c>
      <c r="J13">
        <v>4.6875</v>
      </c>
      <c r="K13">
        <v>-2.3106223340000001</v>
      </c>
    </row>
    <row r="14" spans="1:16" x14ac:dyDescent="0.25">
      <c r="A14">
        <v>-2.2400000000000002</v>
      </c>
      <c r="B14">
        <v>-0.60750000000000004</v>
      </c>
      <c r="C14">
        <v>2.6279818860000002</v>
      </c>
      <c r="D14">
        <v>6.8925000000000001</v>
      </c>
      <c r="E14">
        <v>-2.6279818860000002</v>
      </c>
      <c r="G14">
        <v>-2.4700000000000002</v>
      </c>
      <c r="H14">
        <v>-3.4986999999999999</v>
      </c>
      <c r="I14">
        <v>2.4848763909999998</v>
      </c>
      <c r="J14">
        <v>4.0012999999999996</v>
      </c>
      <c r="K14">
        <v>-2.4848763909999998</v>
      </c>
    </row>
    <row r="15" spans="1:16" x14ac:dyDescent="0.25">
      <c r="A15">
        <v>-2.3199999999999998</v>
      </c>
      <c r="B15">
        <v>-0.85499999999999998</v>
      </c>
      <c r="C15">
        <v>2.71760694</v>
      </c>
      <c r="D15">
        <v>6.6449999999999996</v>
      </c>
      <c r="E15">
        <v>-2.71760694</v>
      </c>
      <c r="G15">
        <v>-2.64</v>
      </c>
      <c r="H15">
        <v>-4.1550000000000002</v>
      </c>
      <c r="I15">
        <v>2.6424536939999999</v>
      </c>
      <c r="J15">
        <v>3.3450000000000002</v>
      </c>
      <c r="K15">
        <v>-2.6424536939999999</v>
      </c>
    </row>
    <row r="16" spans="1:16" x14ac:dyDescent="0.25">
      <c r="A16">
        <v>-2.39</v>
      </c>
      <c r="B16">
        <v>-1.02</v>
      </c>
      <c r="C16">
        <v>2.7782835220000002</v>
      </c>
      <c r="D16">
        <v>6.48</v>
      </c>
      <c r="E16">
        <v>-2.7782835220000002</v>
      </c>
      <c r="G16">
        <v>-2.79</v>
      </c>
      <c r="H16">
        <v>-4.7850000000000001</v>
      </c>
      <c r="I16">
        <v>2.7794367279999999</v>
      </c>
      <c r="J16">
        <v>2.7149999999999999</v>
      </c>
      <c r="K16">
        <v>-2.7794367279999999</v>
      </c>
    </row>
    <row r="17" spans="1:11" x14ac:dyDescent="0.25">
      <c r="A17">
        <v>-2.5</v>
      </c>
      <c r="B17">
        <v>-1.3613</v>
      </c>
      <c r="C17">
        <v>2.905882428</v>
      </c>
      <c r="D17">
        <v>6.1387</v>
      </c>
      <c r="E17">
        <v>-2.905882428</v>
      </c>
      <c r="G17">
        <v>-2.92</v>
      </c>
      <c r="H17">
        <v>-5.3925000000000001</v>
      </c>
      <c r="I17">
        <v>2.892786326</v>
      </c>
      <c r="J17">
        <v>2.1074999999999999</v>
      </c>
      <c r="K17">
        <v>-2.892786326</v>
      </c>
    </row>
    <row r="18" spans="1:11" x14ac:dyDescent="0.25">
      <c r="A18">
        <v>-2.61</v>
      </c>
      <c r="B18">
        <v>-1.7138</v>
      </c>
      <c r="C18">
        <v>3.040130011</v>
      </c>
      <c r="D18">
        <v>5.7862</v>
      </c>
      <c r="E18">
        <v>-3.040130011</v>
      </c>
      <c r="G18">
        <v>-3.01</v>
      </c>
      <c r="H18">
        <v>-5.9249999999999998</v>
      </c>
      <c r="I18">
        <v>2.9730325039999999</v>
      </c>
      <c r="J18">
        <v>1.575</v>
      </c>
      <c r="K18">
        <v>-2.9730325039999999</v>
      </c>
    </row>
    <row r="19" spans="1:11" x14ac:dyDescent="0.25">
      <c r="A19">
        <v>-2.71</v>
      </c>
      <c r="B19">
        <v>-1.9538</v>
      </c>
      <c r="C19">
        <v>3.1326005559999999</v>
      </c>
      <c r="D19">
        <v>5.5461999999999998</v>
      </c>
      <c r="E19">
        <v>-3.1326005559999999</v>
      </c>
      <c r="G19">
        <v>-3.04</v>
      </c>
      <c r="H19">
        <v>-6.1912000000000003</v>
      </c>
      <c r="I19">
        <v>3.0054633329999998</v>
      </c>
      <c r="J19">
        <v>1.3088</v>
      </c>
      <c r="K19">
        <v>-3.0054633329999998</v>
      </c>
    </row>
    <row r="20" spans="1:11" x14ac:dyDescent="0.25">
      <c r="A20">
        <v>-2.81</v>
      </c>
      <c r="B20">
        <v>-2.2086999999999999</v>
      </c>
      <c r="C20">
        <v>3.2314227720000002</v>
      </c>
      <c r="D20">
        <v>5.2912999999999997</v>
      </c>
      <c r="E20">
        <v>-3.2314227720000002</v>
      </c>
      <c r="G20">
        <v>-3.06</v>
      </c>
      <c r="H20">
        <v>-6.4424999999999999</v>
      </c>
      <c r="I20">
        <v>3.030992366</v>
      </c>
      <c r="J20">
        <v>1.0575000000000001</v>
      </c>
      <c r="K20">
        <v>-3.030992366</v>
      </c>
    </row>
    <row r="21" spans="1:11" x14ac:dyDescent="0.25">
      <c r="A21">
        <v>-2.96</v>
      </c>
      <c r="B21">
        <v>-2.5350000000000001</v>
      </c>
      <c r="C21">
        <v>3.3582890459999999</v>
      </c>
      <c r="D21">
        <v>4.9649999999999999</v>
      </c>
      <c r="E21">
        <v>-3.3582890459999999</v>
      </c>
      <c r="G21">
        <v>-3.08</v>
      </c>
      <c r="H21">
        <v>-6.5736999999999997</v>
      </c>
      <c r="I21">
        <v>3.0422801759999998</v>
      </c>
      <c r="J21">
        <v>0.92630000000000001</v>
      </c>
      <c r="K21">
        <v>-3.0422801759999998</v>
      </c>
    </row>
    <row r="22" spans="1:11" x14ac:dyDescent="0.25">
      <c r="A22">
        <v>-3.14</v>
      </c>
      <c r="B22">
        <v>-2.9737</v>
      </c>
      <c r="C22">
        <v>3.5281264160000001</v>
      </c>
      <c r="D22">
        <v>4.5263</v>
      </c>
      <c r="E22">
        <v>-3.5281264160000001</v>
      </c>
      <c r="G22">
        <v>-3.09</v>
      </c>
      <c r="H22">
        <v>-6.8324999999999996</v>
      </c>
      <c r="I22">
        <v>3.060312862</v>
      </c>
      <c r="J22">
        <v>0.66749999999999998</v>
      </c>
      <c r="K22">
        <v>-3.060312862</v>
      </c>
    </row>
    <row r="23" spans="1:11" x14ac:dyDescent="0.25">
      <c r="A23">
        <v>-3.31</v>
      </c>
      <c r="B23">
        <v>-3.4011999999999998</v>
      </c>
      <c r="C23">
        <v>3.690834148</v>
      </c>
      <c r="D23">
        <v>4.0987999999999998</v>
      </c>
      <c r="E23">
        <v>-3.690834148</v>
      </c>
      <c r="G23">
        <v>-3.09</v>
      </c>
      <c r="H23">
        <v>-7.14</v>
      </c>
      <c r="I23">
        <v>3.0742467420000001</v>
      </c>
      <c r="J23">
        <v>0.36</v>
      </c>
      <c r="K23">
        <v>-3.0742467420000001</v>
      </c>
    </row>
    <row r="24" spans="1:11" x14ac:dyDescent="0.25">
      <c r="A24">
        <v>-3.42</v>
      </c>
      <c r="B24">
        <v>-3.6675</v>
      </c>
      <c r="C24">
        <v>3.789757652</v>
      </c>
      <c r="D24">
        <v>3.8325</v>
      </c>
      <c r="E24">
        <v>-3.789757652</v>
      </c>
      <c r="G24">
        <v>-3.09</v>
      </c>
      <c r="H24">
        <v>-7.6311999999999998</v>
      </c>
      <c r="I24">
        <v>3.0792285779999999</v>
      </c>
      <c r="J24">
        <v>-0.13120000000000001</v>
      </c>
      <c r="K24">
        <v>-3.0792285779999999</v>
      </c>
    </row>
    <row r="25" spans="1:11" x14ac:dyDescent="0.25">
      <c r="A25">
        <v>-3.53</v>
      </c>
      <c r="B25">
        <v>-3.9487000000000001</v>
      </c>
      <c r="C25">
        <v>3.8913893850000001</v>
      </c>
      <c r="D25">
        <v>3.5512999999999999</v>
      </c>
      <c r="E25">
        <v>-3.8913893850000001</v>
      </c>
      <c r="G25">
        <v>-3.03</v>
      </c>
      <c r="H25">
        <v>-8.2687000000000008</v>
      </c>
      <c r="I25">
        <v>3.0539384269999998</v>
      </c>
      <c r="J25">
        <v>-0.76870000000000005</v>
      </c>
      <c r="K25">
        <v>-3.0539384269999998</v>
      </c>
    </row>
    <row r="26" spans="1:11" x14ac:dyDescent="0.25">
      <c r="A26">
        <v>-3.75</v>
      </c>
      <c r="B26">
        <v>-4.47</v>
      </c>
      <c r="C26">
        <v>4.0695985610000003</v>
      </c>
      <c r="D26">
        <v>3.03</v>
      </c>
      <c r="E26">
        <v>-4.0695985610000003</v>
      </c>
      <c r="G26">
        <v>-2.95</v>
      </c>
      <c r="H26">
        <v>-8.8275000000000006</v>
      </c>
      <c r="I26">
        <v>3.0033629739999999</v>
      </c>
      <c r="J26">
        <v>-1.3274999999999999</v>
      </c>
      <c r="K26">
        <v>-3.0033629739999999</v>
      </c>
    </row>
    <row r="27" spans="1:11" x14ac:dyDescent="0.25">
      <c r="A27">
        <v>-4.07</v>
      </c>
      <c r="B27">
        <v>-5.2725</v>
      </c>
      <c r="C27">
        <v>4.308154128</v>
      </c>
      <c r="D27">
        <v>2.2275</v>
      </c>
      <c r="E27">
        <v>-4.308154128</v>
      </c>
      <c r="G27">
        <v>-2.84</v>
      </c>
      <c r="H27">
        <v>-9.33</v>
      </c>
      <c r="I27">
        <v>2.937048549</v>
      </c>
      <c r="J27">
        <v>-1.83</v>
      </c>
      <c r="K27">
        <v>-2.937048549</v>
      </c>
    </row>
    <row r="28" spans="1:11" x14ac:dyDescent="0.25">
      <c r="A28">
        <v>-4.3</v>
      </c>
      <c r="B28">
        <v>-5.9886999999999997</v>
      </c>
      <c r="C28">
        <v>4.4719232929999997</v>
      </c>
      <c r="D28">
        <v>1.5113000000000001</v>
      </c>
      <c r="E28">
        <v>-4.4719232929999997</v>
      </c>
      <c r="G28">
        <v>-2.7</v>
      </c>
      <c r="H28">
        <v>-9.9149999999999991</v>
      </c>
      <c r="I28">
        <v>2.8380388559999998</v>
      </c>
      <c r="J28">
        <v>-2.415</v>
      </c>
      <c r="K28">
        <v>-2.8380388559999998</v>
      </c>
    </row>
    <row r="29" spans="1:11" x14ac:dyDescent="0.25">
      <c r="A29">
        <v>-4.4000000000000004</v>
      </c>
      <c r="B29">
        <v>-6.3375000000000004</v>
      </c>
      <c r="C29">
        <v>4.5314133119999997</v>
      </c>
      <c r="D29">
        <v>1.1625000000000001</v>
      </c>
      <c r="E29">
        <v>-4.5314133119999997</v>
      </c>
      <c r="G29">
        <v>-2.5299999999999998</v>
      </c>
      <c r="H29">
        <v>-10.5525</v>
      </c>
      <c r="I29">
        <v>2.708153985</v>
      </c>
      <c r="J29">
        <v>-3.0525000000000002</v>
      </c>
      <c r="K29">
        <v>-2.708153985</v>
      </c>
    </row>
    <row r="30" spans="1:11" x14ac:dyDescent="0.25">
      <c r="A30">
        <v>-4.49</v>
      </c>
      <c r="B30">
        <v>-6.75</v>
      </c>
      <c r="C30">
        <v>4.582773349</v>
      </c>
      <c r="D30">
        <v>0.75</v>
      </c>
      <c r="E30">
        <v>-4.582773349</v>
      </c>
      <c r="G30">
        <v>-2.34</v>
      </c>
      <c r="H30">
        <v>-11.1525</v>
      </c>
      <c r="I30">
        <v>2.5701286410000002</v>
      </c>
      <c r="J30">
        <v>-3.6524999999999999</v>
      </c>
      <c r="K30">
        <v>-2.5701286410000002</v>
      </c>
    </row>
    <row r="31" spans="1:11" x14ac:dyDescent="0.25">
      <c r="A31">
        <v>-4.58</v>
      </c>
      <c r="B31">
        <v>-7.2112999999999996</v>
      </c>
      <c r="C31">
        <v>4.614443058</v>
      </c>
      <c r="D31">
        <v>0.28870000000000001</v>
      </c>
      <c r="E31">
        <v>-4.614443058</v>
      </c>
      <c r="G31">
        <v>-2.13</v>
      </c>
      <c r="H31">
        <v>-11.835000000000001</v>
      </c>
      <c r="I31">
        <v>2.4009423820000002</v>
      </c>
      <c r="J31">
        <v>-4.335</v>
      </c>
      <c r="K31">
        <v>-2.4009423820000002</v>
      </c>
    </row>
    <row r="32" spans="1:11" x14ac:dyDescent="0.25">
      <c r="A32">
        <v>-4.62</v>
      </c>
      <c r="B32">
        <v>-7.5788000000000002</v>
      </c>
      <c r="C32">
        <v>4.6195756240000003</v>
      </c>
      <c r="D32">
        <v>-7.8799999999999995E-2</v>
      </c>
      <c r="E32">
        <v>-4.6195756240000003</v>
      </c>
      <c r="G32">
        <v>-1.92</v>
      </c>
      <c r="H32">
        <v>-12.588699999999999</v>
      </c>
      <c r="I32">
        <v>2.2067932830000001</v>
      </c>
      <c r="J32">
        <v>-5.0887000000000002</v>
      </c>
      <c r="K32">
        <v>-2.2067932830000001</v>
      </c>
    </row>
    <row r="33" spans="1:11" x14ac:dyDescent="0.25">
      <c r="A33">
        <v>-4.63</v>
      </c>
      <c r="B33">
        <v>-7.9387999999999996</v>
      </c>
      <c r="C33">
        <v>4.607193573</v>
      </c>
      <c r="D33">
        <v>-0.43880000000000002</v>
      </c>
      <c r="E33">
        <v>-4.607193573</v>
      </c>
      <c r="G33">
        <v>-1.73</v>
      </c>
      <c r="H33">
        <v>-13.2113</v>
      </c>
      <c r="I33">
        <v>2.045941011</v>
      </c>
      <c r="J33">
        <v>-5.7112999999999996</v>
      </c>
      <c r="K33">
        <v>-2.045941011</v>
      </c>
    </row>
    <row r="34" spans="1:11" x14ac:dyDescent="0.25">
      <c r="A34">
        <v>-4.62</v>
      </c>
      <c r="B34">
        <v>-8.4038000000000004</v>
      </c>
      <c r="C34">
        <v>4.5661086080000004</v>
      </c>
      <c r="D34">
        <v>-0.90380000000000005</v>
      </c>
      <c r="E34">
        <v>-4.5661086080000004</v>
      </c>
      <c r="G34">
        <v>-1.62</v>
      </c>
      <c r="H34">
        <v>-13.672499999999999</v>
      </c>
      <c r="I34">
        <v>1.92875412</v>
      </c>
      <c r="J34">
        <v>-6.1725000000000003</v>
      </c>
      <c r="K34">
        <v>-1.92875412</v>
      </c>
    </row>
    <row r="35" spans="1:11" x14ac:dyDescent="0.25">
      <c r="A35">
        <v>-4.55</v>
      </c>
      <c r="B35">
        <v>-8.9887999999999995</v>
      </c>
      <c r="C35">
        <v>4.4761853299999999</v>
      </c>
      <c r="D35">
        <v>-1.4887999999999999</v>
      </c>
      <c r="E35">
        <v>-4.4761853299999999</v>
      </c>
      <c r="G35">
        <v>-1.53</v>
      </c>
      <c r="H35">
        <v>-14.032500000000001</v>
      </c>
      <c r="I35">
        <v>1.839267301</v>
      </c>
      <c r="J35">
        <v>-6.5324999999999998</v>
      </c>
      <c r="K35">
        <v>-1.839267301</v>
      </c>
    </row>
    <row r="36" spans="1:11" x14ac:dyDescent="0.25">
      <c r="A36">
        <v>-4.43</v>
      </c>
      <c r="B36">
        <v>-9.4987999999999992</v>
      </c>
      <c r="C36">
        <v>4.3660986700000004</v>
      </c>
      <c r="D36">
        <v>-1.9987999999999999</v>
      </c>
      <c r="E36">
        <v>-4.3660986700000004</v>
      </c>
      <c r="G36">
        <v>-1.47</v>
      </c>
      <c r="H36">
        <v>-14.3513</v>
      </c>
      <c r="I36">
        <v>1.7618532819999999</v>
      </c>
      <c r="J36">
        <v>-6.8513000000000002</v>
      </c>
      <c r="K36">
        <v>-1.7618532819999999</v>
      </c>
    </row>
    <row r="37" spans="1:11" x14ac:dyDescent="0.25">
      <c r="A37">
        <v>-4.29</v>
      </c>
      <c r="B37">
        <v>-9.9824999999999999</v>
      </c>
      <c r="C37">
        <v>4.237917468</v>
      </c>
      <c r="D37">
        <v>-2.4824999999999999</v>
      </c>
      <c r="E37">
        <v>-4.237917468</v>
      </c>
      <c r="G37">
        <v>-1.41</v>
      </c>
      <c r="H37">
        <v>-14.61</v>
      </c>
      <c r="I37">
        <v>1.7004711619999999</v>
      </c>
      <c r="J37">
        <v>-7.11</v>
      </c>
      <c r="K37">
        <v>-1.7004711619999999</v>
      </c>
    </row>
    <row r="38" spans="1:11" x14ac:dyDescent="0.25">
      <c r="A38">
        <v>-4.17</v>
      </c>
      <c r="B38">
        <v>-10.3462</v>
      </c>
      <c r="C38">
        <v>4.1285322750000004</v>
      </c>
      <c r="D38">
        <v>-2.8462000000000001</v>
      </c>
      <c r="E38">
        <v>-4.1285322750000004</v>
      </c>
      <c r="G38">
        <v>-1.37</v>
      </c>
      <c r="H38">
        <v>-14.82</v>
      </c>
      <c r="I38">
        <v>1.651670121</v>
      </c>
      <c r="J38">
        <v>-7.32</v>
      </c>
      <c r="K38">
        <v>-1.651670121</v>
      </c>
    </row>
    <row r="39" spans="1:11" x14ac:dyDescent="0.25">
      <c r="A39">
        <v>-4.08</v>
      </c>
      <c r="B39">
        <v>-10.5787</v>
      </c>
      <c r="C39">
        <v>4.0536114650000004</v>
      </c>
      <c r="D39">
        <v>-3.0787</v>
      </c>
      <c r="E39">
        <v>-4.0536114650000004</v>
      </c>
      <c r="G39">
        <v>-1.32</v>
      </c>
      <c r="H39">
        <v>-15.06</v>
      </c>
      <c r="I39">
        <v>1.5970868149999999</v>
      </c>
      <c r="J39">
        <v>-7.56</v>
      </c>
      <c r="K39">
        <v>-1.5970868149999999</v>
      </c>
    </row>
    <row r="40" spans="1:11" x14ac:dyDescent="0.25">
      <c r="A40">
        <v>-3.99</v>
      </c>
      <c r="B40">
        <v>-10.8187</v>
      </c>
      <c r="C40">
        <v>3.9727404850000001</v>
      </c>
      <c r="D40">
        <v>-3.3187000000000002</v>
      </c>
      <c r="E40">
        <v>-3.9727404850000001</v>
      </c>
      <c r="G40">
        <v>-1.28</v>
      </c>
      <c r="H40">
        <v>-15.251200000000001</v>
      </c>
      <c r="I40">
        <v>1.5545460149999999</v>
      </c>
      <c r="J40">
        <v>-7.7511999999999999</v>
      </c>
      <c r="K40">
        <v>-1.5545460149999999</v>
      </c>
    </row>
    <row r="41" spans="1:11" x14ac:dyDescent="0.25">
      <c r="A41">
        <v>-3.92</v>
      </c>
      <c r="B41">
        <v>-11.01</v>
      </c>
      <c r="C41">
        <v>3.9060279499999999</v>
      </c>
      <c r="D41">
        <v>-3.51</v>
      </c>
      <c r="E41">
        <v>-3.9060279499999999</v>
      </c>
      <c r="G41">
        <v>-1.25</v>
      </c>
      <c r="H41">
        <v>-15.4312</v>
      </c>
      <c r="I41">
        <v>1.515284753</v>
      </c>
      <c r="J41">
        <v>-7.9311999999999996</v>
      </c>
      <c r="K41">
        <v>-1.515284753</v>
      </c>
    </row>
    <row r="42" spans="1:11" x14ac:dyDescent="0.25">
      <c r="A42">
        <v>-3.81</v>
      </c>
      <c r="B42">
        <v>-11.2837</v>
      </c>
      <c r="C42">
        <v>3.807622931</v>
      </c>
      <c r="D42">
        <v>-3.7837000000000001</v>
      </c>
      <c r="E42">
        <v>-3.807622931</v>
      </c>
      <c r="G42">
        <v>-1.21</v>
      </c>
      <c r="H42">
        <v>-15.6937</v>
      </c>
      <c r="I42">
        <v>1.4594296550000001</v>
      </c>
      <c r="J42">
        <v>-8.1936999999999998</v>
      </c>
      <c r="K42">
        <v>-1.4594296550000001</v>
      </c>
    </row>
    <row r="43" spans="1:11" x14ac:dyDescent="0.25">
      <c r="A43">
        <v>-3.63</v>
      </c>
      <c r="B43">
        <v>-11.685</v>
      </c>
      <c r="C43">
        <v>3.6583595560000002</v>
      </c>
      <c r="D43">
        <v>-4.1849999999999996</v>
      </c>
      <c r="E43">
        <v>-3.6583595560000002</v>
      </c>
      <c r="G43">
        <v>-1.1599999999999999</v>
      </c>
      <c r="H43">
        <v>-16.008800000000001</v>
      </c>
      <c r="I43">
        <v>1.3946198219999999</v>
      </c>
      <c r="J43">
        <v>-8.5088000000000008</v>
      </c>
      <c r="K43">
        <v>-1.3946198219999999</v>
      </c>
    </row>
    <row r="44" spans="1:11" x14ac:dyDescent="0.25">
      <c r="A44">
        <v>-3.48</v>
      </c>
      <c r="B44">
        <v>-12.0038</v>
      </c>
      <c r="C44">
        <v>3.5367787260000001</v>
      </c>
      <c r="D44">
        <v>-4.5038</v>
      </c>
      <c r="E44">
        <v>-3.5367787260000001</v>
      </c>
      <c r="G44">
        <v>-1.0900000000000001</v>
      </c>
      <c r="H44">
        <v>-16.428799999999999</v>
      </c>
      <c r="I44">
        <v>1.3120834079999999</v>
      </c>
      <c r="J44">
        <v>-8.9288000000000007</v>
      </c>
      <c r="K44">
        <v>-1.3120834079999999</v>
      </c>
    </row>
    <row r="45" spans="1:11" x14ac:dyDescent="0.25">
      <c r="A45">
        <v>-3.29</v>
      </c>
      <c r="B45">
        <v>-12.438700000000001</v>
      </c>
      <c r="C45">
        <v>3.3685105210000001</v>
      </c>
      <c r="D45">
        <v>-4.9386999999999999</v>
      </c>
      <c r="E45">
        <v>-3.3685105210000001</v>
      </c>
      <c r="G45">
        <v>-1.02</v>
      </c>
      <c r="H45">
        <v>-16.934999999999999</v>
      </c>
      <c r="I45">
        <v>1.2184687030000001</v>
      </c>
      <c r="J45">
        <v>-9.4350000000000005</v>
      </c>
      <c r="K45">
        <v>-1.2184687030000001</v>
      </c>
    </row>
    <row r="46" spans="1:11" x14ac:dyDescent="0.25">
      <c r="A46">
        <v>-3.11</v>
      </c>
      <c r="B46">
        <v>-12.81</v>
      </c>
      <c r="C46">
        <v>3.2241588210000001</v>
      </c>
      <c r="D46">
        <v>-5.31</v>
      </c>
      <c r="E46">
        <v>-3.2241588210000001</v>
      </c>
      <c r="G46">
        <v>-0.95</v>
      </c>
      <c r="H46">
        <v>-17.482500000000002</v>
      </c>
      <c r="I46">
        <v>1.124332267</v>
      </c>
      <c r="J46">
        <v>-9.9824999999999999</v>
      </c>
      <c r="K46">
        <v>-1.124332267</v>
      </c>
    </row>
    <row r="47" spans="1:11" x14ac:dyDescent="0.25">
      <c r="A47">
        <v>-3</v>
      </c>
      <c r="B47">
        <v>-13.0725</v>
      </c>
      <c r="C47">
        <v>3.1224348210000001</v>
      </c>
      <c r="D47">
        <v>-5.5724999999999998</v>
      </c>
      <c r="E47">
        <v>-3.1224348210000001</v>
      </c>
      <c r="G47">
        <v>-0.88</v>
      </c>
      <c r="H47">
        <v>-18.003799999999998</v>
      </c>
      <c r="I47">
        <v>1.041369295</v>
      </c>
      <c r="J47">
        <v>-10.5038</v>
      </c>
      <c r="K47">
        <v>-1.041369295</v>
      </c>
    </row>
    <row r="48" spans="1:11" x14ac:dyDescent="0.25">
      <c r="A48">
        <v>-2.86</v>
      </c>
      <c r="B48">
        <v>-13.4138</v>
      </c>
      <c r="C48">
        <v>2.9912878630000002</v>
      </c>
      <c r="D48">
        <v>-5.9138000000000002</v>
      </c>
      <c r="E48">
        <v>-2.9912878630000002</v>
      </c>
      <c r="G48">
        <v>-0.83</v>
      </c>
      <c r="H48">
        <v>-18.581299999999999</v>
      </c>
      <c r="I48">
        <v>0.95671925599999996</v>
      </c>
      <c r="J48">
        <v>-11.081300000000001</v>
      </c>
      <c r="K48">
        <v>-0.95671925599999996</v>
      </c>
    </row>
    <row r="49" spans="1:11" x14ac:dyDescent="0.25">
      <c r="A49">
        <v>-2.73</v>
      </c>
      <c r="B49">
        <v>-13.702500000000001</v>
      </c>
      <c r="C49">
        <v>2.881833366</v>
      </c>
      <c r="D49">
        <v>-6.2024999999999997</v>
      </c>
      <c r="E49">
        <v>-2.881833366</v>
      </c>
      <c r="G49">
        <v>-0.76</v>
      </c>
      <c r="H49">
        <v>-19.346299999999999</v>
      </c>
      <c r="I49">
        <v>0.85558965399999998</v>
      </c>
      <c r="J49">
        <v>-11.846299999999999</v>
      </c>
      <c r="K49">
        <v>-0.85558965399999998</v>
      </c>
    </row>
    <row r="50" spans="1:11" x14ac:dyDescent="0.25">
      <c r="A50">
        <v>-2.64</v>
      </c>
      <c r="B50">
        <v>-13.92</v>
      </c>
      <c r="C50">
        <v>2.8005192390000002</v>
      </c>
      <c r="D50">
        <v>-6.42</v>
      </c>
      <c r="E50">
        <v>-2.8005192390000002</v>
      </c>
      <c r="G50">
        <v>-0.69</v>
      </c>
      <c r="H50">
        <v>-20.246300000000002</v>
      </c>
      <c r="I50">
        <v>0.75124992400000001</v>
      </c>
      <c r="J50">
        <v>-12.7463</v>
      </c>
      <c r="K50">
        <v>-0.75124992400000001</v>
      </c>
    </row>
    <row r="51" spans="1:11" x14ac:dyDescent="0.25">
      <c r="A51">
        <v>-2.52</v>
      </c>
      <c r="B51">
        <v>-14.223699999999999</v>
      </c>
      <c r="C51">
        <v>2.6889212090000001</v>
      </c>
      <c r="D51">
        <v>-6.7237</v>
      </c>
      <c r="E51">
        <v>-2.6889212090000001</v>
      </c>
      <c r="G51">
        <v>-0.62</v>
      </c>
      <c r="H51">
        <v>-21.0825</v>
      </c>
      <c r="I51">
        <v>0.66692440200000003</v>
      </c>
      <c r="J51">
        <v>-13.5825</v>
      </c>
      <c r="K51">
        <v>-0.66692440200000003</v>
      </c>
    </row>
    <row r="52" spans="1:11" x14ac:dyDescent="0.25">
      <c r="A52">
        <v>-2.4300000000000002</v>
      </c>
      <c r="B52">
        <v>-14.49</v>
      </c>
      <c r="C52">
        <v>2.5931630280000002</v>
      </c>
      <c r="D52">
        <v>-6.99</v>
      </c>
      <c r="E52">
        <v>-2.5931630280000002</v>
      </c>
      <c r="G52">
        <v>-0.56999999999999995</v>
      </c>
      <c r="H52">
        <v>-21.776299999999999</v>
      </c>
      <c r="I52">
        <v>0.60511187799999999</v>
      </c>
      <c r="J52">
        <v>-14.276300000000001</v>
      </c>
      <c r="K52">
        <v>-0.60511187799999999</v>
      </c>
    </row>
    <row r="53" spans="1:11" x14ac:dyDescent="0.25">
      <c r="A53">
        <v>-2.2999999999999998</v>
      </c>
      <c r="B53">
        <v>-14.831300000000001</v>
      </c>
      <c r="C53">
        <v>2.473606905</v>
      </c>
      <c r="D53">
        <v>-7.3312999999999997</v>
      </c>
      <c r="E53">
        <v>-2.473606905</v>
      </c>
      <c r="G53">
        <v>-0.54</v>
      </c>
      <c r="H53">
        <v>-22.413799999999998</v>
      </c>
      <c r="I53">
        <v>0.55411817799999996</v>
      </c>
      <c r="J53">
        <v>-14.9138</v>
      </c>
      <c r="K53">
        <v>-0.55411817799999996</v>
      </c>
    </row>
    <row r="54" spans="1:11" x14ac:dyDescent="0.25">
      <c r="A54">
        <v>-2.1</v>
      </c>
      <c r="B54">
        <v>-15.5175</v>
      </c>
      <c r="C54">
        <v>2.2451052539999998</v>
      </c>
      <c r="D54">
        <v>-8.0175000000000001</v>
      </c>
      <c r="E54">
        <v>-2.2451052539999998</v>
      </c>
      <c r="G54">
        <v>-0.5</v>
      </c>
      <c r="H54">
        <v>-23.036300000000001</v>
      </c>
      <c r="I54">
        <v>0.50913783999999995</v>
      </c>
      <c r="J54">
        <v>-15.536300000000001</v>
      </c>
      <c r="K54">
        <v>-0.50913783999999995</v>
      </c>
    </row>
    <row r="55" spans="1:11" x14ac:dyDescent="0.25">
      <c r="A55">
        <v>-1.94</v>
      </c>
      <c r="B55">
        <v>-16.031300000000002</v>
      </c>
      <c r="C55">
        <v>2.085129582</v>
      </c>
      <c r="D55">
        <v>-8.5312999999999999</v>
      </c>
      <c r="E55">
        <v>-2.085129582</v>
      </c>
      <c r="G55">
        <v>-0.48</v>
      </c>
      <c r="H55">
        <v>-23.587499999999999</v>
      </c>
      <c r="I55">
        <v>0.47289392299999999</v>
      </c>
      <c r="J55">
        <v>-16.087499999999999</v>
      </c>
      <c r="K55">
        <v>-0.47289392299999999</v>
      </c>
    </row>
    <row r="56" spans="1:11" x14ac:dyDescent="0.25">
      <c r="A56">
        <v>-1.83</v>
      </c>
      <c r="B56">
        <v>-16.38</v>
      </c>
      <c r="C56">
        <v>1.982169837</v>
      </c>
      <c r="D56">
        <v>-8.8800000000000008</v>
      </c>
      <c r="E56">
        <v>-1.982169837</v>
      </c>
      <c r="G56">
        <v>-0.46</v>
      </c>
      <c r="H56">
        <v>-23.898800000000001</v>
      </c>
      <c r="I56">
        <v>0.45379082599999998</v>
      </c>
      <c r="J56">
        <v>-16.398800000000001</v>
      </c>
      <c r="K56">
        <v>-0.45379082599999998</v>
      </c>
    </row>
    <row r="57" spans="1:11" x14ac:dyDescent="0.25">
      <c r="A57">
        <v>-1.73</v>
      </c>
      <c r="B57">
        <v>-16.762499999999999</v>
      </c>
      <c r="C57">
        <v>1.874479947</v>
      </c>
      <c r="D57">
        <v>-9.2624999999999993</v>
      </c>
      <c r="E57">
        <v>-1.874479947</v>
      </c>
      <c r="G57">
        <v>-0.45</v>
      </c>
      <c r="H57">
        <v>-24.142499999999998</v>
      </c>
      <c r="I57">
        <v>0.439481762</v>
      </c>
      <c r="J57">
        <v>-16.642499999999998</v>
      </c>
      <c r="K57">
        <v>-0.439481762</v>
      </c>
    </row>
    <row r="58" spans="1:11" x14ac:dyDescent="0.25">
      <c r="A58">
        <v>-1.63</v>
      </c>
      <c r="B58">
        <v>-17.204999999999998</v>
      </c>
      <c r="C58">
        <v>1.7566982980000001</v>
      </c>
      <c r="D58">
        <v>-9.7050000000000001</v>
      </c>
      <c r="E58">
        <v>-1.7566982980000001</v>
      </c>
      <c r="G58">
        <v>-0.44</v>
      </c>
      <c r="H58">
        <v>-24.36</v>
      </c>
      <c r="I58">
        <v>0.42716907199999998</v>
      </c>
      <c r="J58">
        <v>-16.86</v>
      </c>
      <c r="K58">
        <v>-0.42716907199999998</v>
      </c>
    </row>
    <row r="59" spans="1:11" x14ac:dyDescent="0.25">
      <c r="A59">
        <v>-1.55</v>
      </c>
      <c r="B59">
        <v>-17.52</v>
      </c>
      <c r="C59">
        <v>1.6772252510000001</v>
      </c>
      <c r="D59">
        <v>-10.02</v>
      </c>
      <c r="E59">
        <v>-1.6772252510000001</v>
      </c>
      <c r="G59">
        <v>-0.42</v>
      </c>
      <c r="H59">
        <v>-24.753799999999998</v>
      </c>
      <c r="I59">
        <v>0.40592234399999999</v>
      </c>
      <c r="J59">
        <v>-17.253799999999998</v>
      </c>
      <c r="K59">
        <v>-0.40592234399999999</v>
      </c>
    </row>
    <row r="60" spans="1:11" x14ac:dyDescent="0.25">
      <c r="A60">
        <v>-1.5</v>
      </c>
      <c r="B60">
        <v>-17.782499999999999</v>
      </c>
      <c r="C60">
        <v>1.6137156459999999</v>
      </c>
      <c r="D60">
        <v>-10.282500000000001</v>
      </c>
      <c r="E60">
        <v>-1.6137156459999999</v>
      </c>
      <c r="G60">
        <v>-0.39</v>
      </c>
      <c r="H60">
        <v>-25.4025</v>
      </c>
      <c r="I60">
        <v>0.37365693799999999</v>
      </c>
      <c r="J60">
        <v>-17.9025</v>
      </c>
      <c r="K60">
        <v>-0.37365693799999999</v>
      </c>
    </row>
    <row r="61" spans="1:11" x14ac:dyDescent="0.25">
      <c r="A61">
        <v>-1.44</v>
      </c>
      <c r="B61">
        <v>-18.105</v>
      </c>
      <c r="C61">
        <v>1.5389924719999999</v>
      </c>
      <c r="D61">
        <v>-10.605</v>
      </c>
      <c r="E61">
        <v>-1.5389924719999999</v>
      </c>
      <c r="G61">
        <v>-0.37</v>
      </c>
      <c r="H61">
        <v>-25.717500000000001</v>
      </c>
      <c r="I61">
        <v>0.359123686</v>
      </c>
      <c r="J61">
        <v>-18.217500000000001</v>
      </c>
      <c r="K61">
        <v>-0.359123686</v>
      </c>
    </row>
    <row r="62" spans="1:11" x14ac:dyDescent="0.25">
      <c r="A62">
        <v>-1.35</v>
      </c>
      <c r="B62">
        <v>-18.558800000000002</v>
      </c>
      <c r="C62">
        <v>1.439819255</v>
      </c>
      <c r="D62">
        <v>-11.0588</v>
      </c>
      <c r="E62">
        <v>-1.439819255</v>
      </c>
      <c r="G62">
        <v>-0.36</v>
      </c>
      <c r="H62">
        <v>-25.8825</v>
      </c>
      <c r="I62">
        <v>0.35178815600000002</v>
      </c>
      <c r="J62">
        <v>-18.3825</v>
      </c>
      <c r="K62">
        <v>-0.35178815600000002</v>
      </c>
    </row>
    <row r="63" spans="1:11" x14ac:dyDescent="0.25">
      <c r="A63">
        <v>-1.21</v>
      </c>
      <c r="B63">
        <v>-19.327500000000001</v>
      </c>
      <c r="C63">
        <v>1.2868985230000001</v>
      </c>
      <c r="D63">
        <v>-11.827500000000001</v>
      </c>
      <c r="E63">
        <v>-1.2868985230000001</v>
      </c>
      <c r="G63">
        <v>-0.35</v>
      </c>
      <c r="H63">
        <v>-26.137499999999999</v>
      </c>
      <c r="I63">
        <v>0.34081058199999997</v>
      </c>
      <c r="J63">
        <v>-18.637499999999999</v>
      </c>
      <c r="K63">
        <v>-0.34081058199999997</v>
      </c>
    </row>
    <row r="64" spans="1:11" x14ac:dyDescent="0.25">
      <c r="A64">
        <v>-1.08</v>
      </c>
      <c r="B64">
        <v>-20.3063</v>
      </c>
      <c r="C64">
        <v>1.1172203919999999</v>
      </c>
      <c r="D64">
        <v>-12.8063</v>
      </c>
      <c r="E64">
        <v>-1.1172203919999999</v>
      </c>
      <c r="G64">
        <v>-0.34</v>
      </c>
      <c r="H64">
        <v>-26.471299999999999</v>
      </c>
      <c r="I64">
        <v>0.32707182400000001</v>
      </c>
      <c r="J64">
        <v>-18.971299999999999</v>
      </c>
      <c r="K64">
        <v>-0.32707182400000001</v>
      </c>
    </row>
    <row r="65" spans="1:11" x14ac:dyDescent="0.25">
      <c r="A65">
        <v>-0.96</v>
      </c>
      <c r="B65">
        <v>-21.232500000000002</v>
      </c>
      <c r="C65">
        <v>0.97944939399999997</v>
      </c>
      <c r="D65">
        <v>-13.7325</v>
      </c>
      <c r="E65">
        <v>-0.97944939399999997</v>
      </c>
      <c r="G65">
        <v>-0.33</v>
      </c>
      <c r="H65">
        <v>-26.827500000000001</v>
      </c>
      <c r="I65">
        <v>0.31315857000000002</v>
      </c>
      <c r="J65">
        <v>-19.327500000000001</v>
      </c>
      <c r="K65">
        <v>-0.31315857000000002</v>
      </c>
    </row>
    <row r="66" spans="1:11" x14ac:dyDescent="0.25">
      <c r="A66">
        <v>-0.87</v>
      </c>
      <c r="B66">
        <v>-21.907499999999999</v>
      </c>
      <c r="C66">
        <v>0.891275021</v>
      </c>
      <c r="D66">
        <v>-14.407500000000001</v>
      </c>
      <c r="E66">
        <v>-0.891275021</v>
      </c>
      <c r="G66">
        <v>-0.32</v>
      </c>
      <c r="H66">
        <v>-27.344999999999999</v>
      </c>
      <c r="I66">
        <v>0.29422806600000001</v>
      </c>
      <c r="J66">
        <v>-19.844999999999999</v>
      </c>
      <c r="K66">
        <v>-0.29422806600000001</v>
      </c>
    </row>
    <row r="67" spans="1:11" x14ac:dyDescent="0.25">
      <c r="A67">
        <v>-0.81</v>
      </c>
      <c r="B67">
        <v>-22.5488</v>
      </c>
      <c r="C67">
        <v>0.81596532099999997</v>
      </c>
      <c r="D67">
        <v>-15.0488</v>
      </c>
      <c r="E67">
        <v>-0.81596532099999997</v>
      </c>
      <c r="G67">
        <v>-0.31</v>
      </c>
      <c r="H67">
        <v>-28.001300000000001</v>
      </c>
      <c r="I67">
        <v>0.27222413699999998</v>
      </c>
      <c r="J67">
        <v>-20.501300000000001</v>
      </c>
      <c r="K67">
        <v>-0.27222413699999998</v>
      </c>
    </row>
    <row r="68" spans="1:11" x14ac:dyDescent="0.25">
      <c r="A68">
        <v>-0.76</v>
      </c>
      <c r="B68">
        <v>-23.0625</v>
      </c>
      <c r="C68">
        <v>0.76101249199999998</v>
      </c>
      <c r="D68">
        <v>-15.5625</v>
      </c>
      <c r="E68">
        <v>-0.76101249199999998</v>
      </c>
      <c r="G68">
        <v>-0.28999999999999998</v>
      </c>
      <c r="H68">
        <v>-28.511299999999999</v>
      </c>
      <c r="I68">
        <v>0.256531379</v>
      </c>
      <c r="J68">
        <v>-21.011299999999999</v>
      </c>
      <c r="K68">
        <v>-0.256531379</v>
      </c>
    </row>
    <row r="69" spans="1:11" x14ac:dyDescent="0.25">
      <c r="A69">
        <v>-0.73</v>
      </c>
      <c r="B69">
        <v>-23.452500000000001</v>
      </c>
      <c r="C69">
        <v>0.722216313</v>
      </c>
      <c r="D69">
        <v>-15.952500000000001</v>
      </c>
      <c r="E69">
        <v>-0.722216313</v>
      </c>
      <c r="G69">
        <v>-0.28000000000000003</v>
      </c>
      <c r="H69">
        <v>-28.998799999999999</v>
      </c>
      <c r="I69">
        <v>0.24257790300000001</v>
      </c>
      <c r="J69">
        <v>-21.498799999999999</v>
      </c>
      <c r="K69">
        <v>-0.24257790300000001</v>
      </c>
    </row>
    <row r="70" spans="1:11" x14ac:dyDescent="0.25">
      <c r="A70">
        <v>-0.7</v>
      </c>
      <c r="B70">
        <v>-23.767499999999998</v>
      </c>
      <c r="C70">
        <v>0.69259926599999999</v>
      </c>
      <c r="D70">
        <v>-16.267499999999998</v>
      </c>
      <c r="E70">
        <v>-0.69259926599999999</v>
      </c>
      <c r="G70">
        <v>-0.27</v>
      </c>
      <c r="H70">
        <v>-29.531300000000002</v>
      </c>
      <c r="I70">
        <v>0.228409901</v>
      </c>
      <c r="J70">
        <v>-22.031300000000002</v>
      </c>
      <c r="K70">
        <v>-0.228409901</v>
      </c>
    </row>
    <row r="71" spans="1:11" x14ac:dyDescent="0.25">
      <c r="A71">
        <v>-0.67</v>
      </c>
      <c r="B71">
        <v>-24.1538</v>
      </c>
      <c r="C71">
        <v>0.65824737799999999</v>
      </c>
      <c r="D71">
        <v>-16.6538</v>
      </c>
      <c r="E71">
        <v>-0.65824737799999999</v>
      </c>
      <c r="G71">
        <v>-0.26</v>
      </c>
      <c r="H71">
        <v>-30.015000000000001</v>
      </c>
      <c r="I71">
        <v>0.21643399599999999</v>
      </c>
      <c r="J71">
        <v>-22.515000000000001</v>
      </c>
      <c r="K71">
        <v>-0.21643399599999999</v>
      </c>
    </row>
    <row r="72" spans="1:11" x14ac:dyDescent="0.25">
      <c r="A72">
        <v>-0.63</v>
      </c>
      <c r="B72">
        <v>-24.641300000000001</v>
      </c>
      <c r="C72">
        <v>0.61778767099999998</v>
      </c>
      <c r="D72">
        <v>-17.141300000000001</v>
      </c>
      <c r="E72">
        <v>-0.61778767099999998</v>
      </c>
      <c r="G72">
        <v>-0.25</v>
      </c>
      <c r="H72">
        <v>-30.573799999999999</v>
      </c>
      <c r="I72">
        <v>0.203569994</v>
      </c>
      <c r="J72">
        <v>-23.073799999999999</v>
      </c>
      <c r="K72">
        <v>-0.203569994</v>
      </c>
    </row>
    <row r="73" spans="1:11" x14ac:dyDescent="0.25">
      <c r="A73">
        <v>-0.6</v>
      </c>
      <c r="B73">
        <v>-24.956299999999999</v>
      </c>
      <c r="C73">
        <v>0.59324631500000002</v>
      </c>
      <c r="D73">
        <v>-17.456299999999999</v>
      </c>
      <c r="E73">
        <v>-0.59324631500000002</v>
      </c>
      <c r="G73">
        <v>-0.23</v>
      </c>
      <c r="H73">
        <v>-31.4175</v>
      </c>
      <c r="I73">
        <v>0.18592873900000001</v>
      </c>
      <c r="J73">
        <v>-23.9175</v>
      </c>
      <c r="K73">
        <v>-0.18592873900000001</v>
      </c>
    </row>
    <row r="74" spans="1:11" x14ac:dyDescent="0.25">
      <c r="A74">
        <v>-0.6</v>
      </c>
      <c r="B74">
        <v>-25.14</v>
      </c>
      <c r="C74">
        <v>0.57948259499999999</v>
      </c>
      <c r="D74">
        <v>-17.64</v>
      </c>
      <c r="E74">
        <v>-0.57948259499999999</v>
      </c>
      <c r="G74">
        <v>-0.22</v>
      </c>
      <c r="H74">
        <v>-32.467500000000001</v>
      </c>
      <c r="I74">
        <v>0.16660034300000001</v>
      </c>
      <c r="J74">
        <v>-24.967500000000001</v>
      </c>
      <c r="K74">
        <v>-0.16660034300000001</v>
      </c>
    </row>
    <row r="75" spans="1:11" x14ac:dyDescent="0.25">
      <c r="A75">
        <v>-0.57999999999999996</v>
      </c>
      <c r="B75">
        <v>-25.376300000000001</v>
      </c>
      <c r="C75">
        <v>0.56234691400000003</v>
      </c>
      <c r="D75">
        <v>-17.876300000000001</v>
      </c>
      <c r="E75">
        <v>-0.56234691400000003</v>
      </c>
      <c r="G75">
        <v>-0.21</v>
      </c>
      <c r="H75">
        <v>-33.427500000000002</v>
      </c>
      <c r="I75">
        <v>0.15112162000000001</v>
      </c>
      <c r="J75">
        <v>-25.927499999999998</v>
      </c>
      <c r="K75">
        <v>-0.15112162000000001</v>
      </c>
    </row>
    <row r="76" spans="1:11" x14ac:dyDescent="0.25">
      <c r="A76">
        <v>-0.56000000000000005</v>
      </c>
      <c r="B76">
        <v>-25.62</v>
      </c>
      <c r="C76">
        <v>0.54532011400000002</v>
      </c>
      <c r="D76">
        <v>-18.12</v>
      </c>
      <c r="E76">
        <v>-0.54532011400000002</v>
      </c>
      <c r="G76">
        <v>-0.2</v>
      </c>
      <c r="H76">
        <v>-34.1175</v>
      </c>
      <c r="I76">
        <v>0.14112048499999999</v>
      </c>
      <c r="J76">
        <v>-26.6175</v>
      </c>
      <c r="K76">
        <v>-0.14112048499999999</v>
      </c>
    </row>
    <row r="77" spans="1:11" x14ac:dyDescent="0.25">
      <c r="A77">
        <v>-0.55000000000000004</v>
      </c>
      <c r="B77">
        <v>-25.758700000000001</v>
      </c>
      <c r="C77">
        <v>0.53591181700000001</v>
      </c>
      <c r="D77">
        <v>-18.258700000000001</v>
      </c>
      <c r="E77">
        <v>-0.53591181700000001</v>
      </c>
      <c r="G77">
        <v>-0.2</v>
      </c>
      <c r="H77">
        <v>-34.623800000000003</v>
      </c>
      <c r="I77">
        <v>0.13431748399999999</v>
      </c>
      <c r="J77">
        <v>-27.123799999999999</v>
      </c>
      <c r="K77">
        <v>-0.13431748399999999</v>
      </c>
    </row>
    <row r="78" spans="1:11" x14ac:dyDescent="0.25">
      <c r="A78">
        <v>-0.54</v>
      </c>
      <c r="B78">
        <v>-25.9725</v>
      </c>
      <c r="C78">
        <v>0.52179697599999997</v>
      </c>
      <c r="D78">
        <v>-18.4725</v>
      </c>
      <c r="E78">
        <v>-0.52179697599999997</v>
      </c>
      <c r="G78">
        <v>-0.19</v>
      </c>
      <c r="H78">
        <v>-35.152500000000003</v>
      </c>
      <c r="I78">
        <v>0.127657083</v>
      </c>
      <c r="J78">
        <v>-27.6525</v>
      </c>
      <c r="K78">
        <v>-0.127657083</v>
      </c>
    </row>
    <row r="79" spans="1:11" x14ac:dyDescent="0.25">
      <c r="A79">
        <v>-0.52</v>
      </c>
      <c r="B79">
        <v>-26.3325</v>
      </c>
      <c r="C79">
        <v>0.49904995899999999</v>
      </c>
      <c r="D79">
        <v>-18.8325</v>
      </c>
      <c r="E79">
        <v>-0.49904995899999999</v>
      </c>
      <c r="G79">
        <v>-0.19</v>
      </c>
      <c r="H79">
        <v>-35.621299999999998</v>
      </c>
      <c r="I79">
        <v>0.122103092</v>
      </c>
      <c r="J79">
        <v>-28.121300000000002</v>
      </c>
      <c r="K79">
        <v>-0.122103092</v>
      </c>
    </row>
    <row r="80" spans="1:11" x14ac:dyDescent="0.25">
      <c r="A80">
        <v>-0.5</v>
      </c>
      <c r="B80">
        <v>-26.546299999999999</v>
      </c>
      <c r="C80">
        <v>0.48611950799999998</v>
      </c>
      <c r="D80">
        <v>-19.046299999999999</v>
      </c>
      <c r="E80">
        <v>-0.48611950799999998</v>
      </c>
      <c r="G80">
        <v>-0.19</v>
      </c>
      <c r="H80">
        <v>-35.898800000000001</v>
      </c>
      <c r="I80">
        <v>0.118961795</v>
      </c>
      <c r="J80">
        <v>-28.398800000000001</v>
      </c>
      <c r="K80">
        <v>-0.118961795</v>
      </c>
    </row>
    <row r="81" spans="1:11" x14ac:dyDescent="0.25">
      <c r="A81">
        <v>-0.48</v>
      </c>
      <c r="B81">
        <v>-26.921299999999999</v>
      </c>
      <c r="C81">
        <v>0.46442612300000002</v>
      </c>
      <c r="D81">
        <v>-19.421299999999999</v>
      </c>
      <c r="E81">
        <v>-0.46442612300000002</v>
      </c>
      <c r="G81">
        <v>-0.18</v>
      </c>
      <c r="H81">
        <v>-36.123800000000003</v>
      </c>
      <c r="I81">
        <v>0.116490973</v>
      </c>
      <c r="J81">
        <v>-28.623799999999999</v>
      </c>
      <c r="K81">
        <v>-0.116490973</v>
      </c>
    </row>
    <row r="82" spans="1:11" x14ac:dyDescent="0.25">
      <c r="A82">
        <v>-0.45</v>
      </c>
      <c r="B82">
        <v>-27.712499999999999</v>
      </c>
      <c r="C82">
        <v>0.422466656</v>
      </c>
      <c r="D82">
        <v>-20.212499999999999</v>
      </c>
      <c r="E82">
        <v>-0.422466656</v>
      </c>
      <c r="G82">
        <v>-0.18</v>
      </c>
      <c r="H82">
        <v>-36.273800000000001</v>
      </c>
      <c r="I82">
        <v>0.114880475</v>
      </c>
      <c r="J82">
        <v>-28.773800000000001</v>
      </c>
      <c r="K82">
        <v>-0.114880475</v>
      </c>
    </row>
    <row r="83" spans="1:11" x14ac:dyDescent="0.25">
      <c r="A83">
        <v>-0.41</v>
      </c>
      <c r="B83">
        <v>-28.586200000000002</v>
      </c>
      <c r="C83">
        <v>0.38148479200000002</v>
      </c>
      <c r="D83">
        <v>-21.086200000000002</v>
      </c>
      <c r="E83">
        <v>-0.38148479200000002</v>
      </c>
      <c r="G83">
        <v>-0.18</v>
      </c>
      <c r="H83">
        <v>-36.326300000000003</v>
      </c>
      <c r="I83">
        <v>0.114323598</v>
      </c>
      <c r="J83">
        <v>-28.8263</v>
      </c>
      <c r="K83">
        <v>-0.114323598</v>
      </c>
    </row>
    <row r="84" spans="1:11" x14ac:dyDescent="0.25">
      <c r="A84">
        <v>-0.36</v>
      </c>
      <c r="B84">
        <v>-29.7562</v>
      </c>
      <c r="C84">
        <v>0.334110252</v>
      </c>
      <c r="D84">
        <v>-22.2562</v>
      </c>
      <c r="E84">
        <v>-0.334110252</v>
      </c>
      <c r="G84">
        <v>-0.18</v>
      </c>
      <c r="H84">
        <v>-36.408799999999999</v>
      </c>
      <c r="I84">
        <v>0.113455531</v>
      </c>
      <c r="J84">
        <v>-28.908799999999999</v>
      </c>
      <c r="K84">
        <v>-0.113455531</v>
      </c>
    </row>
    <row r="85" spans="1:11" x14ac:dyDescent="0.25">
      <c r="A85">
        <v>-0.33</v>
      </c>
      <c r="B85">
        <v>-30.926200000000001</v>
      </c>
      <c r="C85">
        <v>0.29393037399999999</v>
      </c>
      <c r="D85">
        <v>-23.426200000000001</v>
      </c>
      <c r="E85">
        <v>-0.29393037399999999</v>
      </c>
      <c r="G85">
        <v>-0.18</v>
      </c>
      <c r="H85">
        <v>-36.536299999999997</v>
      </c>
      <c r="I85">
        <v>0.112130647</v>
      </c>
      <c r="J85">
        <v>-29.036300000000001</v>
      </c>
      <c r="K85">
        <v>-0.112130647</v>
      </c>
    </row>
    <row r="86" spans="1:11" x14ac:dyDescent="0.25">
      <c r="A86">
        <v>-0.32</v>
      </c>
      <c r="B86">
        <v>-31.844999999999999</v>
      </c>
      <c r="C86">
        <v>0.26659682400000001</v>
      </c>
      <c r="D86">
        <v>-24.344999999999999</v>
      </c>
      <c r="E86">
        <v>-0.26659682400000001</v>
      </c>
      <c r="G86">
        <v>-0.18</v>
      </c>
      <c r="H86">
        <v>-36.637500000000003</v>
      </c>
      <c r="I86">
        <v>0.111093254</v>
      </c>
      <c r="J86">
        <v>-29.137499999999999</v>
      </c>
      <c r="K86">
        <v>-0.111093254</v>
      </c>
    </row>
    <row r="87" spans="1:11" x14ac:dyDescent="0.25">
      <c r="A87">
        <v>-0.3</v>
      </c>
      <c r="B87">
        <v>-32.767499999999998</v>
      </c>
      <c r="C87">
        <v>0.24233078199999999</v>
      </c>
      <c r="D87">
        <v>-25.267499999999998</v>
      </c>
      <c r="E87">
        <v>-0.24233078199999999</v>
      </c>
      <c r="G87">
        <v>-0.17</v>
      </c>
      <c r="H87">
        <v>-36.69</v>
      </c>
      <c r="I87">
        <v>0.110559966</v>
      </c>
      <c r="J87">
        <v>-29.19</v>
      </c>
      <c r="K87">
        <v>-0.110559966</v>
      </c>
    </row>
    <row r="88" spans="1:11" x14ac:dyDescent="0.25">
      <c r="A88">
        <v>-0.28000000000000003</v>
      </c>
      <c r="B88">
        <v>-33.731200000000001</v>
      </c>
      <c r="C88">
        <v>0.21991680499999999</v>
      </c>
      <c r="D88">
        <v>-26.231200000000001</v>
      </c>
      <c r="E88">
        <v>-0.21991680499999999</v>
      </c>
      <c r="G88">
        <v>-0.17</v>
      </c>
      <c r="H88">
        <v>-36.716299999999997</v>
      </c>
      <c r="I88">
        <v>0.110294058</v>
      </c>
      <c r="J88">
        <v>-29.2163</v>
      </c>
      <c r="K88">
        <v>-0.110294058</v>
      </c>
    </row>
    <row r="89" spans="1:11" x14ac:dyDescent="0.25">
      <c r="A89">
        <v>-0.26</v>
      </c>
      <c r="B89">
        <v>-34.627499999999998</v>
      </c>
      <c r="C89">
        <v>0.201404006</v>
      </c>
      <c r="D89">
        <v>-27.127500000000001</v>
      </c>
      <c r="E89">
        <v>-0.201404006</v>
      </c>
      <c r="G89">
        <v>-0.18</v>
      </c>
      <c r="H89">
        <v>-36.716299999999997</v>
      </c>
      <c r="I89">
        <v>0.110294058</v>
      </c>
      <c r="J89">
        <v>-29.2163</v>
      </c>
      <c r="K89">
        <v>-0.110294058</v>
      </c>
    </row>
    <row r="90" spans="1:11" x14ac:dyDescent="0.25">
      <c r="A90">
        <v>-0.26</v>
      </c>
      <c r="B90">
        <v>-35.186199999999999</v>
      </c>
      <c r="C90">
        <v>0.190870657</v>
      </c>
      <c r="D90">
        <v>-27.686199999999999</v>
      </c>
      <c r="E90">
        <v>-0.190870657</v>
      </c>
      <c r="G90">
        <v>-0.17</v>
      </c>
      <c r="H90">
        <v>-36.716299999999997</v>
      </c>
      <c r="I90">
        <v>0.110294058</v>
      </c>
      <c r="J90">
        <v>-29.2163</v>
      </c>
      <c r="K90">
        <v>-0.110294058</v>
      </c>
    </row>
    <row r="91" spans="1:11" x14ac:dyDescent="0.25">
      <c r="A91">
        <v>-0.25</v>
      </c>
      <c r="B91">
        <v>-35.467500000000001</v>
      </c>
      <c r="C91">
        <v>0.185835371</v>
      </c>
      <c r="D91">
        <v>-27.967500000000001</v>
      </c>
      <c r="E91">
        <v>-0.185835371</v>
      </c>
      <c r="G91">
        <v>-0.17</v>
      </c>
      <c r="H91">
        <v>-36.712499999999999</v>
      </c>
      <c r="I91">
        <v>0.110332427</v>
      </c>
      <c r="J91">
        <v>-29.212499999999999</v>
      </c>
      <c r="K91">
        <v>-0.110332427</v>
      </c>
    </row>
    <row r="92" spans="1:11" x14ac:dyDescent="0.25">
      <c r="A92">
        <v>-0.25</v>
      </c>
      <c r="B92">
        <v>-35.613700000000001</v>
      </c>
      <c r="C92">
        <v>0.18328593100000001</v>
      </c>
      <c r="D92">
        <v>-28.113700000000001</v>
      </c>
      <c r="E92">
        <v>-0.18328593100000001</v>
      </c>
      <c r="G92">
        <v>-0.17</v>
      </c>
      <c r="H92">
        <v>-36.712499999999999</v>
      </c>
      <c r="I92">
        <v>0.110332427</v>
      </c>
      <c r="J92">
        <v>-29.212499999999999</v>
      </c>
      <c r="K92">
        <v>-0.110332427</v>
      </c>
    </row>
    <row r="93" spans="1:11" x14ac:dyDescent="0.25">
      <c r="A93">
        <v>-0.25</v>
      </c>
      <c r="B93">
        <v>-35.835000000000001</v>
      </c>
      <c r="C93">
        <v>0.17951204400000001</v>
      </c>
      <c r="D93">
        <v>-28.335000000000001</v>
      </c>
      <c r="E93">
        <v>-0.17951204400000001</v>
      </c>
      <c r="G93">
        <v>-0.17</v>
      </c>
      <c r="H93">
        <v>-36.708799999999997</v>
      </c>
      <c r="I93">
        <v>0.110369803</v>
      </c>
      <c r="J93">
        <v>-29.2088</v>
      </c>
      <c r="K93">
        <v>-0.110369803</v>
      </c>
    </row>
    <row r="94" spans="1:11" x14ac:dyDescent="0.25">
      <c r="A94">
        <v>-0.24</v>
      </c>
      <c r="B94">
        <v>-36.123699999999999</v>
      </c>
      <c r="C94">
        <v>0.17473808399999999</v>
      </c>
      <c r="D94">
        <v>-28.623699999999999</v>
      </c>
      <c r="E94">
        <v>-0.17473808399999999</v>
      </c>
      <c r="G94">
        <v>-0.17</v>
      </c>
      <c r="H94">
        <v>-36.708799999999997</v>
      </c>
      <c r="I94">
        <v>0.110369803</v>
      </c>
      <c r="J94">
        <v>-29.2088</v>
      </c>
      <c r="K94">
        <v>-0.110369803</v>
      </c>
    </row>
    <row r="95" spans="1:11" x14ac:dyDescent="0.25">
      <c r="A95">
        <v>-0.24</v>
      </c>
      <c r="B95">
        <v>-36.3675</v>
      </c>
      <c r="C95">
        <v>0.17083353300000001</v>
      </c>
      <c r="D95">
        <v>-28.8675</v>
      </c>
      <c r="E95">
        <v>-0.17083353300000001</v>
      </c>
      <c r="G95">
        <v>-0.17</v>
      </c>
      <c r="H95">
        <v>-36.708799999999997</v>
      </c>
      <c r="I95">
        <v>0.110369803</v>
      </c>
      <c r="J95">
        <v>-29.2088</v>
      </c>
      <c r="K95">
        <v>-0.110369803</v>
      </c>
    </row>
    <row r="96" spans="1:11" x14ac:dyDescent="0.25">
      <c r="A96">
        <v>-0.24</v>
      </c>
      <c r="B96">
        <v>-36.637500000000003</v>
      </c>
      <c r="C96">
        <v>0.16663988099999999</v>
      </c>
      <c r="D96">
        <v>-29.137499999999999</v>
      </c>
      <c r="E96">
        <v>-0.16663988099999999</v>
      </c>
      <c r="G96">
        <v>-0.18</v>
      </c>
      <c r="H96">
        <v>-36.704999999999998</v>
      </c>
      <c r="I96">
        <v>0.11040820599999999</v>
      </c>
      <c r="J96">
        <v>-29.204999999999998</v>
      </c>
      <c r="K96">
        <v>-0.11040820599999999</v>
      </c>
    </row>
    <row r="97" spans="1:11" x14ac:dyDescent="0.25">
      <c r="A97">
        <v>-0.23</v>
      </c>
      <c r="B97">
        <v>-36.978700000000003</v>
      </c>
      <c r="C97">
        <v>0.16152867000000001</v>
      </c>
      <c r="D97">
        <v>-29.4787</v>
      </c>
      <c r="E97">
        <v>-0.16152867000000001</v>
      </c>
      <c r="G97">
        <v>-0.18</v>
      </c>
      <c r="H97">
        <v>-36.69</v>
      </c>
      <c r="I97">
        <v>0.110559966</v>
      </c>
      <c r="J97">
        <v>-29.19</v>
      </c>
      <c r="K97">
        <v>-0.110559966</v>
      </c>
    </row>
    <row r="98" spans="1:11" x14ac:dyDescent="0.25">
      <c r="A98">
        <v>-0.22</v>
      </c>
      <c r="B98">
        <v>-37.29</v>
      </c>
      <c r="C98">
        <v>0.157040925</v>
      </c>
      <c r="D98">
        <v>-29.79</v>
      </c>
      <c r="E98">
        <v>-0.157040925</v>
      </c>
      <c r="G98">
        <v>-0.17</v>
      </c>
      <c r="H98">
        <v>-36.693800000000003</v>
      </c>
      <c r="I98">
        <v>0.110521495</v>
      </c>
      <c r="J98">
        <v>-29.1938</v>
      </c>
      <c r="K98">
        <v>-0.110521495</v>
      </c>
    </row>
    <row r="99" spans="1:11" x14ac:dyDescent="0.25">
      <c r="A99">
        <v>-0.22</v>
      </c>
      <c r="B99">
        <v>-37.593699999999998</v>
      </c>
      <c r="C99">
        <v>0.15281704400000001</v>
      </c>
      <c r="D99">
        <v>-30.093699999999998</v>
      </c>
      <c r="E99">
        <v>-0.15281704400000001</v>
      </c>
      <c r="G99">
        <v>-0.18</v>
      </c>
      <c r="H99">
        <v>-36.693800000000003</v>
      </c>
      <c r="I99">
        <v>0.110521495</v>
      </c>
      <c r="J99">
        <v>-29.1938</v>
      </c>
      <c r="K99">
        <v>-0.110521495</v>
      </c>
    </row>
    <row r="100" spans="1:11" x14ac:dyDescent="0.25">
      <c r="A100">
        <v>-0.21</v>
      </c>
      <c r="B100">
        <v>-37.935000000000002</v>
      </c>
      <c r="C100">
        <v>0.14824411000000001</v>
      </c>
      <c r="D100">
        <v>-30.434999999999999</v>
      </c>
      <c r="E100">
        <v>-0.14824411000000001</v>
      </c>
      <c r="G100">
        <v>-0.18</v>
      </c>
      <c r="H100">
        <v>-36.693800000000003</v>
      </c>
      <c r="I100">
        <v>0.110521495</v>
      </c>
      <c r="J100">
        <v>-29.1938</v>
      </c>
      <c r="K100">
        <v>-0.110521495</v>
      </c>
    </row>
    <row r="101" spans="1:11" x14ac:dyDescent="0.25">
      <c r="A101">
        <v>-0.21</v>
      </c>
      <c r="B101">
        <v>-38.31</v>
      </c>
      <c r="C101">
        <v>0.143421996</v>
      </c>
      <c r="D101">
        <v>-30.81</v>
      </c>
      <c r="E101">
        <v>-0.143421996</v>
      </c>
      <c r="G101">
        <v>-0.18</v>
      </c>
      <c r="H101">
        <v>-36.641300000000001</v>
      </c>
      <c r="I101">
        <v>0.11105454300000001</v>
      </c>
      <c r="J101">
        <v>-29.141300000000001</v>
      </c>
      <c r="K101">
        <v>-0.11105454300000001</v>
      </c>
    </row>
    <row r="102" spans="1:11" x14ac:dyDescent="0.25">
      <c r="A102">
        <v>-0.2</v>
      </c>
      <c r="B102">
        <v>-38.673699999999997</v>
      </c>
      <c r="C102">
        <v>0.13893773100000001</v>
      </c>
      <c r="D102">
        <v>-31.1737</v>
      </c>
      <c r="E102">
        <v>-0.13893773100000001</v>
      </c>
      <c r="G102">
        <v>-0.18</v>
      </c>
      <c r="H102">
        <v>-36.494999999999997</v>
      </c>
      <c r="I102">
        <v>0.112557606</v>
      </c>
      <c r="J102">
        <v>-28.995000000000001</v>
      </c>
      <c r="K102">
        <v>-0.112557606</v>
      </c>
    </row>
    <row r="103" spans="1:11" x14ac:dyDescent="0.25">
      <c r="A103">
        <v>-0.19</v>
      </c>
      <c r="B103">
        <v>-38.988700000000001</v>
      </c>
      <c r="C103">
        <v>0.13519990500000001</v>
      </c>
      <c r="D103">
        <v>-31.488700000000001</v>
      </c>
      <c r="E103">
        <v>-0.13519990500000001</v>
      </c>
      <c r="G103">
        <v>-0.18</v>
      </c>
      <c r="H103">
        <v>-36.307499999999997</v>
      </c>
      <c r="I103">
        <v>0.114522612</v>
      </c>
      <c r="J103">
        <v>-28.807500000000001</v>
      </c>
      <c r="K103">
        <v>-0.114522612</v>
      </c>
    </row>
    <row r="104" spans="1:11" x14ac:dyDescent="0.25">
      <c r="A104">
        <v>-0.19</v>
      </c>
      <c r="B104">
        <v>-39.39</v>
      </c>
      <c r="C104">
        <v>0.13062491600000001</v>
      </c>
      <c r="D104">
        <v>-31.89</v>
      </c>
      <c r="E104">
        <v>-0.13062491600000001</v>
      </c>
      <c r="G104">
        <v>-0.18</v>
      </c>
      <c r="H104">
        <v>-35.94</v>
      </c>
      <c r="I104">
        <v>0.118504337</v>
      </c>
      <c r="J104">
        <v>-28.44</v>
      </c>
      <c r="K104">
        <v>-0.118504337</v>
      </c>
    </row>
    <row r="105" spans="1:11" x14ac:dyDescent="0.25">
      <c r="A105">
        <v>-0.18</v>
      </c>
      <c r="B105">
        <v>-39.727499999999999</v>
      </c>
      <c r="C105">
        <v>0.12693185800000001</v>
      </c>
      <c r="D105">
        <v>-32.227499999999999</v>
      </c>
      <c r="E105">
        <v>-0.12693185800000001</v>
      </c>
      <c r="G105">
        <v>-0.2</v>
      </c>
      <c r="H105">
        <v>-34.837499999999999</v>
      </c>
      <c r="I105">
        <v>0.13157273</v>
      </c>
      <c r="J105">
        <v>-27.337499999999999</v>
      </c>
      <c r="K105">
        <v>-0.13157273</v>
      </c>
    </row>
    <row r="106" spans="1:11" x14ac:dyDescent="0.25">
      <c r="A106">
        <v>-0.17</v>
      </c>
      <c r="B106">
        <v>-39.993699999999997</v>
      </c>
      <c r="C106">
        <v>0.12411423100000001</v>
      </c>
      <c r="D106">
        <v>-32.493699999999997</v>
      </c>
      <c r="E106">
        <v>-0.12411423100000001</v>
      </c>
      <c r="G106">
        <v>-0.22</v>
      </c>
      <c r="H106">
        <v>-33.116300000000003</v>
      </c>
      <c r="I106">
        <v>0.155929604</v>
      </c>
      <c r="J106">
        <v>-25.616299999999999</v>
      </c>
      <c r="K106">
        <v>-0.155929604</v>
      </c>
    </row>
    <row r="107" spans="1:11" x14ac:dyDescent="0.25">
      <c r="A107">
        <v>-0.17</v>
      </c>
      <c r="B107">
        <v>-40.215000000000003</v>
      </c>
      <c r="C107">
        <v>0.12183348200000001</v>
      </c>
      <c r="D107">
        <v>-32.715000000000003</v>
      </c>
      <c r="E107">
        <v>-0.12183348200000001</v>
      </c>
      <c r="G107">
        <v>-0.23</v>
      </c>
      <c r="H107">
        <v>-31.74</v>
      </c>
      <c r="I107">
        <v>0.17970127599999999</v>
      </c>
      <c r="J107">
        <v>-24.24</v>
      </c>
      <c r="K107">
        <v>-0.17970127599999999</v>
      </c>
    </row>
    <row r="108" spans="1:11" x14ac:dyDescent="0.25">
      <c r="A108">
        <v>-0.17</v>
      </c>
      <c r="B108">
        <v>-40.432499999999997</v>
      </c>
      <c r="C108">
        <v>0.11964474</v>
      </c>
      <c r="D108">
        <v>-32.932499999999997</v>
      </c>
      <c r="E108">
        <v>-0.11964474</v>
      </c>
      <c r="G108">
        <v>-0.24</v>
      </c>
      <c r="H108">
        <v>-30.9863</v>
      </c>
      <c r="I108">
        <v>0.19469096899999999</v>
      </c>
      <c r="J108">
        <v>-23.4863</v>
      </c>
      <c r="K108">
        <v>-0.19469096899999999</v>
      </c>
    </row>
    <row r="109" spans="1:11" x14ac:dyDescent="0.25">
      <c r="A109">
        <v>-0.16</v>
      </c>
      <c r="B109">
        <v>-40.71</v>
      </c>
      <c r="C109">
        <v>0.11760408899999999</v>
      </c>
      <c r="D109">
        <v>-33.14</v>
      </c>
      <c r="E109">
        <v>-0.11760408899999999</v>
      </c>
    </row>
    <row r="110" spans="1:11" x14ac:dyDescent="0.25">
      <c r="A110">
        <v>-0.15</v>
      </c>
      <c r="B110">
        <v>-41.238700000000001</v>
      </c>
      <c r="C110">
        <v>0.112605546</v>
      </c>
      <c r="D110">
        <v>-33.668700000000001</v>
      </c>
      <c r="E110">
        <v>-0.112605546</v>
      </c>
    </row>
    <row r="111" spans="1:11" x14ac:dyDescent="0.25">
      <c r="A111">
        <v>-0.13</v>
      </c>
      <c r="B111">
        <v>-41.707500000000003</v>
      </c>
      <c r="C111">
        <v>0.108402466</v>
      </c>
      <c r="D111">
        <v>-34.137500000000003</v>
      </c>
      <c r="E111">
        <v>-0.108402466</v>
      </c>
    </row>
    <row r="112" spans="1:11" x14ac:dyDescent="0.25">
      <c r="A112">
        <v>-0.13</v>
      </c>
      <c r="B112">
        <v>-41.801200000000001</v>
      </c>
      <c r="C112">
        <v>0.107587023</v>
      </c>
      <c r="D112">
        <v>-34.231200000000001</v>
      </c>
      <c r="E112">
        <v>-0.107587023</v>
      </c>
    </row>
    <row r="113" spans="1:5" x14ac:dyDescent="0.25">
      <c r="A113">
        <v>-0.13</v>
      </c>
      <c r="B113">
        <v>-41.984999999999999</v>
      </c>
      <c r="C113">
        <v>0.10601055500000001</v>
      </c>
      <c r="D113">
        <v>-34.414999999999999</v>
      </c>
      <c r="E113">
        <v>-0.10601055500000001</v>
      </c>
    </row>
    <row r="114" spans="1:5" x14ac:dyDescent="0.25">
      <c r="A114">
        <v>-0.13</v>
      </c>
      <c r="B114">
        <v>-42.161200000000001</v>
      </c>
      <c r="C114">
        <v>0.104527437</v>
      </c>
      <c r="D114">
        <v>-34.591200000000001</v>
      </c>
      <c r="E114">
        <v>-0.104527437</v>
      </c>
    </row>
    <row r="115" spans="1:5" x14ac:dyDescent="0.25">
      <c r="A115">
        <v>-0.13</v>
      </c>
      <c r="B115">
        <v>-42.344999999999999</v>
      </c>
      <c r="C115">
        <v>0.103009056</v>
      </c>
      <c r="D115">
        <v>-34.774999999999999</v>
      </c>
      <c r="E115">
        <v>-0.103009056</v>
      </c>
    </row>
    <row r="116" spans="1:5" x14ac:dyDescent="0.25">
      <c r="A116">
        <v>-0.13</v>
      </c>
      <c r="B116">
        <v>-42.5212</v>
      </c>
      <c r="C116">
        <v>0.10158036500000001</v>
      </c>
      <c r="D116">
        <v>-34.9512</v>
      </c>
      <c r="E116">
        <v>-0.10158036500000001</v>
      </c>
    </row>
    <row r="117" spans="1:5" x14ac:dyDescent="0.25">
      <c r="A117">
        <v>-0.13</v>
      </c>
      <c r="B117">
        <v>-42.543700000000001</v>
      </c>
      <c r="C117">
        <v>0.101399793</v>
      </c>
      <c r="D117">
        <v>-34.973700000000001</v>
      </c>
      <c r="E117">
        <v>-0.101399793</v>
      </c>
    </row>
    <row r="118" spans="1:5" x14ac:dyDescent="0.25">
      <c r="A118">
        <v>-0.13</v>
      </c>
      <c r="B118">
        <v>-42.532499999999999</v>
      </c>
      <c r="C118">
        <v>0.101489625</v>
      </c>
      <c r="D118">
        <v>-34.962499999999999</v>
      </c>
      <c r="E118">
        <v>-0.101489625</v>
      </c>
    </row>
    <row r="119" spans="1:5" x14ac:dyDescent="0.25">
      <c r="A119">
        <v>-0.13</v>
      </c>
      <c r="B119">
        <v>-42.54</v>
      </c>
      <c r="C119">
        <v>0.101429458</v>
      </c>
      <c r="D119">
        <v>-34.97</v>
      </c>
      <c r="E119">
        <v>-0.101429458</v>
      </c>
    </row>
    <row r="120" spans="1:5" x14ac:dyDescent="0.25">
      <c r="A120">
        <v>-0.13</v>
      </c>
      <c r="B120">
        <v>-42.528700000000001</v>
      </c>
      <c r="C120">
        <v>0.101520127</v>
      </c>
      <c r="D120">
        <v>-34.9587</v>
      </c>
      <c r="E120">
        <v>-0.101520127</v>
      </c>
    </row>
    <row r="121" spans="1:5" x14ac:dyDescent="0.25">
      <c r="A121">
        <v>-0.13</v>
      </c>
      <c r="B121">
        <v>-42.5212</v>
      </c>
      <c r="C121">
        <v>0.10158036500000001</v>
      </c>
      <c r="D121">
        <v>-34.9512</v>
      </c>
      <c r="E121">
        <v>-0.10158036500000001</v>
      </c>
    </row>
    <row r="122" spans="1:5" x14ac:dyDescent="0.25">
      <c r="A122">
        <v>-0.13</v>
      </c>
      <c r="B122">
        <v>-42.483699999999999</v>
      </c>
      <c r="C122">
        <v>0.10188225200000001</v>
      </c>
      <c r="D122">
        <v>-34.913699999999999</v>
      </c>
      <c r="E122">
        <v>-0.10188225200000001</v>
      </c>
    </row>
    <row r="123" spans="1:5" x14ac:dyDescent="0.25">
      <c r="A123">
        <v>-0.13</v>
      </c>
      <c r="B123">
        <v>-42.48</v>
      </c>
      <c r="C123">
        <v>0.101912101</v>
      </c>
      <c r="D123">
        <v>-34.909999999999997</v>
      </c>
      <c r="E123">
        <v>-0.101912101</v>
      </c>
    </row>
    <row r="124" spans="1:5" x14ac:dyDescent="0.25">
      <c r="A124">
        <v>-0.13</v>
      </c>
      <c r="B124">
        <v>-42.476199999999999</v>
      </c>
      <c r="C124">
        <v>0.101942769</v>
      </c>
      <c r="D124">
        <v>-34.906199999999998</v>
      </c>
      <c r="E124">
        <v>-0.101942769</v>
      </c>
    </row>
    <row r="125" spans="1:5" x14ac:dyDescent="0.25">
      <c r="A125">
        <v>-0.13</v>
      </c>
      <c r="B125">
        <v>-42.476199999999999</v>
      </c>
      <c r="C125">
        <v>0.101942769</v>
      </c>
      <c r="D125">
        <v>-34.906199999999998</v>
      </c>
      <c r="E125">
        <v>-0.101942769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topLeftCell="F1" workbookViewId="0">
      <selection activeCell="M4" sqref="M4:M67"/>
    </sheetView>
  </sheetViews>
  <sheetFormatPr baseColWidth="10" defaultRowHeight="15" x14ac:dyDescent="0.25"/>
  <sheetData>
    <row r="1" spans="1:14" x14ac:dyDescent="0.25">
      <c r="A1" t="s">
        <v>16</v>
      </c>
      <c r="B1" t="s">
        <v>16</v>
      </c>
      <c r="D1" t="s">
        <v>35</v>
      </c>
      <c r="J1" t="s">
        <v>19</v>
      </c>
      <c r="K1" t="s">
        <v>19</v>
      </c>
      <c r="M1" t="s">
        <v>36</v>
      </c>
    </row>
    <row r="2" spans="1:14" x14ac:dyDescent="0.25">
      <c r="A2" t="s">
        <v>17</v>
      </c>
      <c r="B2" t="s">
        <v>18</v>
      </c>
      <c r="G2" t="s">
        <v>20</v>
      </c>
      <c r="H2">
        <v>10</v>
      </c>
      <c r="J2" t="s">
        <v>17</v>
      </c>
      <c r="K2" t="s">
        <v>18</v>
      </c>
    </row>
    <row r="3" spans="1:14" x14ac:dyDescent="0.25">
      <c r="C3" t="s">
        <v>30</v>
      </c>
      <c r="D3" t="s">
        <v>29</v>
      </c>
      <c r="E3" t="s">
        <v>31</v>
      </c>
      <c r="G3" s="1" t="s">
        <v>32</v>
      </c>
      <c r="H3">
        <v>0.12566370599999999</v>
      </c>
      <c r="L3" t="s">
        <v>30</v>
      </c>
      <c r="M3" t="s">
        <v>29</v>
      </c>
      <c r="N3" t="s">
        <v>31</v>
      </c>
    </row>
    <row r="4" spans="1:14" x14ac:dyDescent="0.25">
      <c r="A4">
        <v>-0.4</v>
      </c>
      <c r="B4">
        <v>-3.7000000000000002E-3</v>
      </c>
      <c r="C4">
        <f>A4-0.07</f>
        <v>-0.47000000000000003</v>
      </c>
      <c r="D4">
        <f>($H$3*$H$4*$H$5*$H$2^2)/(2*SQRT((B4+$H$2/2)^2+$H$2^2)^3)-($H$3*$H$4*$H$5*$H$2^2)/(2*SQRT((B4-$H$2/2)^2+$H$2^2)^3)</f>
        <v>1.5969368481576485E-3</v>
      </c>
      <c r="G4" t="s">
        <v>33</v>
      </c>
      <c r="H4">
        <v>500</v>
      </c>
      <c r="J4">
        <v>-0.71</v>
      </c>
      <c r="K4">
        <v>0</v>
      </c>
      <c r="L4">
        <f>J4-0.07</f>
        <v>-0.78</v>
      </c>
      <c r="M4">
        <f>($H$3*$H$4*$H$5*$H$2^2)/(2*SQRT((K4+$H$2/2)^2+$H$2^2)^3)+($H$3*$H$4*$H$5*$H$2^2)/(2*SQRT((K4-$H$2/2)^2+$H$2^2)^3)</f>
        <v>3.5967051381830162</v>
      </c>
    </row>
    <row r="5" spans="1:14" x14ac:dyDescent="0.25">
      <c r="A5">
        <v>-0.4</v>
      </c>
      <c r="B5">
        <v>-3.7000000000000002E-3</v>
      </c>
      <c r="C5">
        <f t="shared" ref="C5:C40" si="0">A5-0.07</f>
        <v>-0.47000000000000003</v>
      </c>
      <c r="D5">
        <f t="shared" ref="D5:D40" si="1">($H$3*$H$4*$H$5*$H$2^2)/(2*SQRT((B5+$H$2/2)^2+$H$2^2)^3)-($H$3*$H$4*$H$5*$H$2^2)/(2*SQRT((B5-$H$2/2)^2+$H$2^2)^3)</f>
        <v>1.5969368481576485E-3</v>
      </c>
      <c r="G5" t="s">
        <v>34</v>
      </c>
      <c r="H5">
        <v>0.8</v>
      </c>
      <c r="J5">
        <v>-0.71</v>
      </c>
      <c r="K5">
        <v>0</v>
      </c>
      <c r="L5">
        <f t="shared" ref="L5:L67" si="2">J5-0.07</f>
        <v>-0.78</v>
      </c>
      <c r="M5">
        <f t="shared" ref="M5:M67" si="3">($H$3*$H$4*$H$5*$H$2^2)/(2*SQRT((K5+$H$2/2)^2+$H$2^2)^3)+($H$3*$H$4*$H$5*$H$2^2)/(2*SQRT((K5-$H$2/2)^2+$H$2^2)^3)</f>
        <v>3.5967051381830162</v>
      </c>
    </row>
    <row r="6" spans="1:14" x14ac:dyDescent="0.25">
      <c r="A6">
        <v>-0.4</v>
      </c>
      <c r="B6">
        <v>-3.7000000000000002E-3</v>
      </c>
      <c r="C6">
        <f t="shared" si="0"/>
        <v>-0.47000000000000003</v>
      </c>
      <c r="D6">
        <f t="shared" si="1"/>
        <v>1.5969368481576485E-3</v>
      </c>
      <c r="G6" t="s">
        <v>24</v>
      </c>
      <c r="H6">
        <f>H2</f>
        <v>10</v>
      </c>
      <c r="J6">
        <v>-0.71</v>
      </c>
      <c r="K6">
        <v>0</v>
      </c>
      <c r="L6">
        <f t="shared" si="2"/>
        <v>-0.78</v>
      </c>
      <c r="M6">
        <f t="shared" si="3"/>
        <v>3.5967051381830162</v>
      </c>
    </row>
    <row r="7" spans="1:14" x14ac:dyDescent="0.25">
      <c r="A7">
        <v>-0.4</v>
      </c>
      <c r="B7">
        <v>-3.7000000000000002E-3</v>
      </c>
      <c r="C7">
        <f t="shared" si="0"/>
        <v>-0.47000000000000003</v>
      </c>
      <c r="D7">
        <f t="shared" si="1"/>
        <v>1.5969368481576485E-3</v>
      </c>
      <c r="J7">
        <v>-0.71</v>
      </c>
      <c r="K7">
        <v>0</v>
      </c>
      <c r="L7">
        <f t="shared" si="2"/>
        <v>-0.78</v>
      </c>
      <c r="M7">
        <f t="shared" si="3"/>
        <v>3.5967051381830162</v>
      </c>
    </row>
    <row r="8" spans="1:14" x14ac:dyDescent="0.25">
      <c r="A8">
        <v>-0.41</v>
      </c>
      <c r="B8">
        <v>-3.7000000000000002E-3</v>
      </c>
      <c r="C8">
        <f t="shared" si="0"/>
        <v>-0.48</v>
      </c>
      <c r="D8">
        <f t="shared" si="1"/>
        <v>1.5969368481576485E-3</v>
      </c>
      <c r="J8">
        <v>-0.71</v>
      </c>
      <c r="K8">
        <v>0</v>
      </c>
      <c r="L8">
        <f t="shared" si="2"/>
        <v>-0.78</v>
      </c>
      <c r="M8">
        <f t="shared" si="3"/>
        <v>3.5967051381830162</v>
      </c>
    </row>
    <row r="9" spans="1:14" x14ac:dyDescent="0.25">
      <c r="A9">
        <v>-0.45</v>
      </c>
      <c r="B9">
        <v>-1.12E-2</v>
      </c>
      <c r="C9">
        <f t="shared" si="0"/>
        <v>-0.52</v>
      </c>
      <c r="D9">
        <f t="shared" si="1"/>
        <v>4.8339652377360487E-3</v>
      </c>
      <c r="J9">
        <v>-0.71</v>
      </c>
      <c r="K9">
        <v>-3.7000000000000002E-3</v>
      </c>
      <c r="L9">
        <f t="shared" si="2"/>
        <v>-0.78</v>
      </c>
      <c r="M9">
        <f t="shared" si="3"/>
        <v>3.5967051381829398</v>
      </c>
    </row>
    <row r="10" spans="1:14" x14ac:dyDescent="0.25">
      <c r="A10">
        <v>-0.67</v>
      </c>
      <c r="B10">
        <v>-0.69</v>
      </c>
      <c r="C10">
        <f t="shared" si="0"/>
        <v>-0.74</v>
      </c>
      <c r="D10">
        <f t="shared" si="1"/>
        <v>0.29629603466235888</v>
      </c>
      <c r="J10">
        <v>-0.7</v>
      </c>
      <c r="K10">
        <v>-3.7000000000000002E-3</v>
      </c>
      <c r="L10">
        <f t="shared" si="2"/>
        <v>-0.77</v>
      </c>
      <c r="M10">
        <f t="shared" si="3"/>
        <v>3.5967051381829398</v>
      </c>
    </row>
    <row r="11" spans="1:14" x14ac:dyDescent="0.25">
      <c r="A11">
        <v>-0.84</v>
      </c>
      <c r="B11">
        <v>-2.6549999999999998</v>
      </c>
      <c r="C11">
        <f t="shared" si="0"/>
        <v>-0.90999999999999992</v>
      </c>
      <c r="D11">
        <f t="shared" si="1"/>
        <v>1.0610406283430751</v>
      </c>
      <c r="J11">
        <v>-0.71</v>
      </c>
      <c r="K11">
        <v>-3.7000000000000002E-3</v>
      </c>
      <c r="L11">
        <f t="shared" si="2"/>
        <v>-0.78</v>
      </c>
      <c r="M11">
        <f t="shared" si="3"/>
        <v>3.5967051381829398</v>
      </c>
    </row>
    <row r="12" spans="1:14" x14ac:dyDescent="0.25">
      <c r="A12">
        <v>-1.08</v>
      </c>
      <c r="B12">
        <v>-3.93</v>
      </c>
      <c r="C12">
        <f t="shared" si="0"/>
        <v>-1.1500000000000001</v>
      </c>
      <c r="D12">
        <f t="shared" si="1"/>
        <v>1.4277923581246881</v>
      </c>
      <c r="J12">
        <v>-0.74</v>
      </c>
      <c r="K12">
        <v>-5.6300000000000003E-2</v>
      </c>
      <c r="L12">
        <f t="shared" si="2"/>
        <v>-0.81</v>
      </c>
      <c r="M12">
        <f t="shared" si="3"/>
        <v>3.5967051340203096</v>
      </c>
    </row>
    <row r="13" spans="1:14" x14ac:dyDescent="0.25">
      <c r="A13">
        <v>-1.36</v>
      </c>
      <c r="B13">
        <v>-5.4824999999999999</v>
      </c>
      <c r="C13">
        <f t="shared" si="0"/>
        <v>-1.4300000000000002</v>
      </c>
      <c r="D13">
        <f t="shared" si="1"/>
        <v>1.6779626576399174</v>
      </c>
      <c r="J13">
        <v>-0.82</v>
      </c>
      <c r="K13">
        <v>-0.30380000000000001</v>
      </c>
      <c r="L13">
        <f t="shared" si="2"/>
        <v>-0.8899999999999999</v>
      </c>
      <c r="M13">
        <f t="shared" si="3"/>
        <v>3.5967016122882933</v>
      </c>
    </row>
    <row r="14" spans="1:14" x14ac:dyDescent="0.25">
      <c r="A14">
        <v>-1.6</v>
      </c>
      <c r="B14">
        <v>-7.3274999999999997</v>
      </c>
      <c r="C14">
        <f t="shared" si="0"/>
        <v>-1.6700000000000002</v>
      </c>
      <c r="D14">
        <f t="shared" si="1"/>
        <v>1.6936719544891661</v>
      </c>
      <c r="J14">
        <v>-0.99</v>
      </c>
      <c r="K14">
        <v>-1.2938000000000001</v>
      </c>
      <c r="L14">
        <f t="shared" si="2"/>
        <v>-1.06</v>
      </c>
      <c r="M14">
        <f t="shared" si="3"/>
        <v>3.5955653263596972</v>
      </c>
    </row>
    <row r="15" spans="1:14" x14ac:dyDescent="0.25">
      <c r="A15">
        <v>-1.59</v>
      </c>
      <c r="B15">
        <v>-9.1950000000000003</v>
      </c>
      <c r="C15">
        <f t="shared" si="0"/>
        <v>-1.6600000000000001</v>
      </c>
      <c r="D15">
        <f t="shared" si="1"/>
        <v>1.4907080927316487</v>
      </c>
      <c r="J15">
        <v>-1.22</v>
      </c>
      <c r="K15">
        <v>-2.6438000000000001</v>
      </c>
      <c r="L15">
        <f t="shared" si="2"/>
        <v>-1.29</v>
      </c>
      <c r="M15">
        <f t="shared" si="3"/>
        <v>3.5779756516872361</v>
      </c>
    </row>
    <row r="16" spans="1:14" x14ac:dyDescent="0.25">
      <c r="A16">
        <v>-1.24</v>
      </c>
      <c r="B16">
        <v>-11.01</v>
      </c>
      <c r="C16">
        <f t="shared" si="0"/>
        <v>-1.31</v>
      </c>
      <c r="D16">
        <f t="shared" si="1"/>
        <v>1.2088840833361809</v>
      </c>
      <c r="J16">
        <v>-1.44</v>
      </c>
      <c r="K16">
        <v>-3.99</v>
      </c>
      <c r="L16">
        <f t="shared" si="2"/>
        <v>-1.51</v>
      </c>
      <c r="M16">
        <f t="shared" si="3"/>
        <v>3.5089430355064826</v>
      </c>
    </row>
    <row r="17" spans="1:13" x14ac:dyDescent="0.25">
      <c r="A17">
        <v>-0.45</v>
      </c>
      <c r="B17">
        <v>-12.8962</v>
      </c>
      <c r="C17">
        <f t="shared" si="0"/>
        <v>-0.52</v>
      </c>
      <c r="D17">
        <f t="shared" si="1"/>
        <v>0.92325557334081432</v>
      </c>
      <c r="J17">
        <v>-1.63</v>
      </c>
      <c r="K17">
        <v>-5.0625</v>
      </c>
      <c r="L17">
        <f t="shared" si="2"/>
        <v>-1.7</v>
      </c>
      <c r="M17">
        <f t="shared" si="3"/>
        <v>3.3934120266624759</v>
      </c>
    </row>
    <row r="18" spans="1:13" x14ac:dyDescent="0.25">
      <c r="A18">
        <v>0.43</v>
      </c>
      <c r="B18">
        <v>-14.9025</v>
      </c>
      <c r="C18">
        <f t="shared" si="0"/>
        <v>0.36</v>
      </c>
      <c r="D18">
        <f t="shared" si="1"/>
        <v>0.67422379965331247</v>
      </c>
      <c r="J18">
        <v>-1.78</v>
      </c>
      <c r="K18">
        <v>-5.8425000000000002</v>
      </c>
      <c r="L18">
        <f t="shared" si="2"/>
        <v>-1.85</v>
      </c>
      <c r="M18">
        <f t="shared" si="3"/>
        <v>3.2699490570251237</v>
      </c>
    </row>
    <row r="19" spans="1:13" x14ac:dyDescent="0.25">
      <c r="A19">
        <v>1.1299999999999999</v>
      </c>
      <c r="B19">
        <v>-17.024999999999999</v>
      </c>
      <c r="C19">
        <f t="shared" si="0"/>
        <v>1.0599999999999998</v>
      </c>
      <c r="D19">
        <f t="shared" si="1"/>
        <v>0.4794020820804708</v>
      </c>
      <c r="J19">
        <v>-1.89</v>
      </c>
      <c r="K19">
        <v>-6.4950000000000001</v>
      </c>
      <c r="L19">
        <f t="shared" si="2"/>
        <v>-1.96</v>
      </c>
      <c r="M19">
        <f t="shared" si="3"/>
        <v>3.1419157522655494</v>
      </c>
    </row>
    <row r="20" spans="1:13" x14ac:dyDescent="0.25">
      <c r="A20">
        <v>1.53</v>
      </c>
      <c r="B20">
        <v>-18.873799999999999</v>
      </c>
      <c r="C20">
        <f t="shared" si="0"/>
        <v>1.46</v>
      </c>
      <c r="D20">
        <f t="shared" si="1"/>
        <v>0.35751388561641817</v>
      </c>
      <c r="J20">
        <v>-1.95</v>
      </c>
      <c r="K20">
        <v>-6.8662000000000001</v>
      </c>
      <c r="L20">
        <f t="shared" si="2"/>
        <v>-2.02</v>
      </c>
      <c r="M20">
        <f t="shared" si="3"/>
        <v>3.0600408568460855</v>
      </c>
    </row>
    <row r="21" spans="1:13" x14ac:dyDescent="0.25">
      <c r="A21">
        <v>1.68</v>
      </c>
      <c r="B21">
        <v>-20.3962</v>
      </c>
      <c r="C21">
        <f t="shared" si="0"/>
        <v>1.6099999999999999</v>
      </c>
      <c r="D21">
        <f t="shared" si="1"/>
        <v>0.2825693193275296</v>
      </c>
      <c r="J21">
        <v>-2.0099999999999998</v>
      </c>
      <c r="K21">
        <v>-7.02</v>
      </c>
      <c r="L21">
        <f t="shared" si="2"/>
        <v>-2.0799999999999996</v>
      </c>
      <c r="M21">
        <f t="shared" si="3"/>
        <v>3.0244022780565323</v>
      </c>
    </row>
    <row r="22" spans="1:13" x14ac:dyDescent="0.25">
      <c r="A22">
        <v>1.67</v>
      </c>
      <c r="B22">
        <v>-21.69</v>
      </c>
      <c r="C22">
        <f t="shared" si="0"/>
        <v>1.5999999999999999</v>
      </c>
      <c r="D22">
        <f t="shared" si="1"/>
        <v>0.23268027165226252</v>
      </c>
      <c r="J22">
        <v>-2.09</v>
      </c>
      <c r="K22">
        <v>-7.1886999999999999</v>
      </c>
      <c r="L22">
        <f t="shared" si="2"/>
        <v>-2.1599999999999997</v>
      </c>
      <c r="M22">
        <f t="shared" si="3"/>
        <v>2.9842504032370836</v>
      </c>
    </row>
    <row r="23" spans="1:13" x14ac:dyDescent="0.25">
      <c r="A23">
        <v>1.52</v>
      </c>
      <c r="B23">
        <v>-22.942499999999999</v>
      </c>
      <c r="C23">
        <f t="shared" si="0"/>
        <v>1.45</v>
      </c>
      <c r="D23">
        <f t="shared" si="1"/>
        <v>0.19383696064637096</v>
      </c>
      <c r="J23">
        <v>-2.2200000000000002</v>
      </c>
      <c r="K23">
        <v>-7.4474999999999998</v>
      </c>
      <c r="L23">
        <f t="shared" si="2"/>
        <v>-2.29</v>
      </c>
      <c r="M23">
        <f t="shared" si="3"/>
        <v>2.920671477744508</v>
      </c>
    </row>
    <row r="24" spans="1:13" x14ac:dyDescent="0.25">
      <c r="A24">
        <v>1.34</v>
      </c>
      <c r="B24">
        <v>-24.258700000000001</v>
      </c>
      <c r="C24">
        <f t="shared" si="0"/>
        <v>1.27</v>
      </c>
      <c r="D24">
        <f t="shared" si="1"/>
        <v>0.16093522879848371</v>
      </c>
      <c r="J24">
        <v>-2.39</v>
      </c>
      <c r="K24">
        <v>-7.9649999999999999</v>
      </c>
      <c r="L24">
        <f t="shared" si="2"/>
        <v>-2.46</v>
      </c>
      <c r="M24">
        <f t="shared" si="3"/>
        <v>2.787427522133004</v>
      </c>
    </row>
    <row r="25" spans="1:13" x14ac:dyDescent="0.25">
      <c r="A25">
        <v>1.18</v>
      </c>
      <c r="B25">
        <v>-25.5075</v>
      </c>
      <c r="C25">
        <f t="shared" si="0"/>
        <v>1.1099999999999999</v>
      </c>
      <c r="D25">
        <f t="shared" si="1"/>
        <v>0.13565870800972712</v>
      </c>
      <c r="J25">
        <v>-2.62</v>
      </c>
      <c r="K25">
        <v>-8.5050000000000008</v>
      </c>
      <c r="L25">
        <f t="shared" si="2"/>
        <v>-2.69</v>
      </c>
      <c r="M25">
        <f t="shared" si="3"/>
        <v>2.6419431364275878</v>
      </c>
    </row>
    <row r="26" spans="1:13" x14ac:dyDescent="0.25">
      <c r="A26">
        <v>1.03</v>
      </c>
      <c r="B26">
        <v>-26.557500000000001</v>
      </c>
      <c r="C26">
        <f t="shared" si="0"/>
        <v>0.96</v>
      </c>
      <c r="D26">
        <f t="shared" si="1"/>
        <v>0.1179981531088173</v>
      </c>
      <c r="J26">
        <v>-2.91</v>
      </c>
      <c r="K26">
        <v>-9.3863000000000003</v>
      </c>
      <c r="L26">
        <f t="shared" si="2"/>
        <v>-2.98</v>
      </c>
      <c r="M26">
        <f t="shared" si="3"/>
        <v>2.3975396453565674</v>
      </c>
    </row>
    <row r="27" spans="1:13" x14ac:dyDescent="0.25">
      <c r="A27">
        <v>0.91</v>
      </c>
      <c r="B27">
        <v>-27.453700000000001</v>
      </c>
      <c r="C27">
        <f t="shared" si="0"/>
        <v>0.84000000000000008</v>
      </c>
      <c r="D27">
        <f t="shared" si="1"/>
        <v>0.10506587533581316</v>
      </c>
      <c r="J27">
        <v>-3.15</v>
      </c>
      <c r="K27">
        <v>-10.574999999999999</v>
      </c>
      <c r="L27">
        <f t="shared" si="2"/>
        <v>-3.2199999999999998</v>
      </c>
      <c r="M27">
        <f t="shared" si="3"/>
        <v>2.0710463751629864</v>
      </c>
    </row>
    <row r="28" spans="1:13" x14ac:dyDescent="0.25">
      <c r="A28">
        <v>0.85</v>
      </c>
      <c r="B28">
        <v>-28.2562</v>
      </c>
      <c r="C28">
        <f t="shared" si="0"/>
        <v>0.78</v>
      </c>
      <c r="D28">
        <f t="shared" si="1"/>
        <v>9.4907682292226667E-2</v>
      </c>
      <c r="J28">
        <v>-3.29</v>
      </c>
      <c r="K28">
        <v>-11.895</v>
      </c>
      <c r="L28">
        <f t="shared" si="2"/>
        <v>-3.36</v>
      </c>
      <c r="M28">
        <f t="shared" si="3"/>
        <v>1.734522060833009</v>
      </c>
    </row>
    <row r="29" spans="1:13" x14ac:dyDescent="0.25">
      <c r="A29">
        <v>0.78</v>
      </c>
      <c r="B29">
        <v>-28.706199999999999</v>
      </c>
      <c r="C29">
        <f t="shared" si="0"/>
        <v>0.71</v>
      </c>
      <c r="D29">
        <f t="shared" si="1"/>
        <v>8.9729740739007302E-2</v>
      </c>
      <c r="J29">
        <v>-3.32</v>
      </c>
      <c r="K29">
        <v>-13.14</v>
      </c>
      <c r="L29">
        <f t="shared" si="2"/>
        <v>-3.3899999999999997</v>
      </c>
      <c r="M29">
        <f t="shared" si="3"/>
        <v>1.4551462733165501</v>
      </c>
    </row>
    <row r="30" spans="1:13" x14ac:dyDescent="0.25">
      <c r="A30">
        <v>0.63</v>
      </c>
      <c r="B30">
        <v>-29.43</v>
      </c>
      <c r="C30">
        <f t="shared" si="0"/>
        <v>0.56000000000000005</v>
      </c>
      <c r="D30">
        <f t="shared" si="1"/>
        <v>8.2098304210760226E-2</v>
      </c>
      <c r="J30">
        <v>-3.32</v>
      </c>
      <c r="K30">
        <v>-14.2463</v>
      </c>
      <c r="L30">
        <f t="shared" si="2"/>
        <v>-3.3899999999999997</v>
      </c>
      <c r="M30">
        <f t="shared" si="3"/>
        <v>1.2411472335275378</v>
      </c>
    </row>
    <row r="31" spans="1:13" x14ac:dyDescent="0.25">
      <c r="A31">
        <v>0.47</v>
      </c>
      <c r="B31">
        <v>-30.918700000000001</v>
      </c>
      <c r="C31">
        <f t="shared" si="0"/>
        <v>0.39999999999999997</v>
      </c>
      <c r="D31">
        <f t="shared" si="1"/>
        <v>6.8730344322445056E-2</v>
      </c>
      <c r="J31">
        <v>-3.31</v>
      </c>
      <c r="K31">
        <v>-15.071300000000001</v>
      </c>
      <c r="L31">
        <f t="shared" si="2"/>
        <v>-3.38</v>
      </c>
      <c r="M31">
        <f t="shared" si="3"/>
        <v>1.1020049534986167</v>
      </c>
    </row>
    <row r="32" spans="1:13" x14ac:dyDescent="0.25">
      <c r="A32">
        <v>0.34</v>
      </c>
      <c r="B32">
        <v>-32.835000000000001</v>
      </c>
      <c r="C32">
        <f t="shared" si="0"/>
        <v>0.27</v>
      </c>
      <c r="D32">
        <f t="shared" si="1"/>
        <v>5.5203002953901438E-2</v>
      </c>
      <c r="J32">
        <v>-3.3</v>
      </c>
      <c r="K32">
        <v>-15.675000000000001</v>
      </c>
      <c r="L32">
        <f t="shared" si="2"/>
        <v>-3.3699999999999997</v>
      </c>
      <c r="M32">
        <f t="shared" si="3"/>
        <v>1.0105443562416698</v>
      </c>
    </row>
    <row r="33" spans="1:13" x14ac:dyDescent="0.25">
      <c r="A33">
        <v>0.27</v>
      </c>
      <c r="B33">
        <v>-34.74</v>
      </c>
      <c r="C33">
        <f t="shared" si="0"/>
        <v>0.2</v>
      </c>
      <c r="D33">
        <f t="shared" si="1"/>
        <v>4.4842558875259668E-2</v>
      </c>
      <c r="J33">
        <v>-3.3</v>
      </c>
      <c r="K33">
        <v>-16.327500000000001</v>
      </c>
      <c r="L33">
        <f t="shared" si="2"/>
        <v>-3.3699999999999997</v>
      </c>
      <c r="M33">
        <f t="shared" si="3"/>
        <v>0.92082000224807781</v>
      </c>
    </row>
    <row r="34" spans="1:13" x14ac:dyDescent="0.25">
      <c r="A34">
        <v>0.23</v>
      </c>
      <c r="B34">
        <v>-36.487499999999997</v>
      </c>
      <c r="C34">
        <f t="shared" si="0"/>
        <v>0.16</v>
      </c>
      <c r="D34">
        <f t="shared" si="1"/>
        <v>3.7362062254711205E-2</v>
      </c>
      <c r="J34">
        <v>-3.3</v>
      </c>
      <c r="K34">
        <v>-17.137499999999999</v>
      </c>
      <c r="L34">
        <f t="shared" si="2"/>
        <v>-3.3699999999999997</v>
      </c>
      <c r="M34">
        <f t="shared" si="3"/>
        <v>0.82152247517799593</v>
      </c>
    </row>
    <row r="35" spans="1:13" x14ac:dyDescent="0.25">
      <c r="A35">
        <v>0.2</v>
      </c>
      <c r="B35">
        <v>-38.137500000000003</v>
      </c>
      <c r="C35">
        <f t="shared" si="0"/>
        <v>0.13</v>
      </c>
      <c r="D35">
        <f t="shared" si="1"/>
        <v>3.1659200239325176E-2</v>
      </c>
      <c r="J35">
        <v>-3.31</v>
      </c>
      <c r="K35">
        <v>-17.996300000000002</v>
      </c>
      <c r="L35">
        <f t="shared" si="2"/>
        <v>-3.38</v>
      </c>
      <c r="M35">
        <f t="shared" si="3"/>
        <v>0.72934238182342226</v>
      </c>
    </row>
    <row r="36" spans="1:13" x14ac:dyDescent="0.25">
      <c r="A36">
        <v>0.19</v>
      </c>
      <c r="B36">
        <v>-39.738700000000001</v>
      </c>
      <c r="C36">
        <f t="shared" si="0"/>
        <v>0.12</v>
      </c>
      <c r="D36">
        <f t="shared" si="1"/>
        <v>2.7115824101537424E-2</v>
      </c>
      <c r="J36">
        <v>-3.3</v>
      </c>
      <c r="K36">
        <v>-19.053799999999999</v>
      </c>
      <c r="L36">
        <f t="shared" si="2"/>
        <v>-3.3699999999999997</v>
      </c>
      <c r="M36">
        <f t="shared" si="3"/>
        <v>0.63194473254072003</v>
      </c>
    </row>
    <row r="37" spans="1:13" x14ac:dyDescent="0.25">
      <c r="A37">
        <v>0.18</v>
      </c>
      <c r="B37">
        <v>-40.968699999999998</v>
      </c>
      <c r="C37">
        <f t="shared" si="0"/>
        <v>0.10999999999999999</v>
      </c>
      <c r="D37">
        <f t="shared" si="1"/>
        <v>2.4162142035988658E-2</v>
      </c>
      <c r="J37">
        <v>-3.24</v>
      </c>
      <c r="K37">
        <v>-20.4938</v>
      </c>
      <c r="L37">
        <f t="shared" si="2"/>
        <v>-3.31</v>
      </c>
      <c r="M37">
        <f t="shared" si="3"/>
        <v>0.52316286265898249</v>
      </c>
    </row>
    <row r="38" spans="1:13" x14ac:dyDescent="0.25">
      <c r="A38">
        <v>0.17</v>
      </c>
      <c r="B38">
        <v>-41.441200000000002</v>
      </c>
      <c r="C38">
        <f t="shared" si="0"/>
        <v>0.1</v>
      </c>
      <c r="D38">
        <f t="shared" si="1"/>
        <v>2.3133800748007475E-2</v>
      </c>
      <c r="J38">
        <v>-3.12</v>
      </c>
      <c r="K38">
        <v>-21.675000000000001</v>
      </c>
      <c r="L38">
        <f t="shared" si="2"/>
        <v>-3.19</v>
      </c>
      <c r="M38">
        <f t="shared" si="3"/>
        <v>0.4506138989706665</v>
      </c>
    </row>
    <row r="39" spans="1:13" x14ac:dyDescent="0.25">
      <c r="A39">
        <v>0.17</v>
      </c>
      <c r="B39">
        <v>-41.677500000000002</v>
      </c>
      <c r="C39">
        <f t="shared" si="0"/>
        <v>0.1</v>
      </c>
      <c r="D39">
        <f t="shared" si="1"/>
        <v>2.2639786420432326E-2</v>
      </c>
      <c r="J39">
        <v>-2.89</v>
      </c>
      <c r="K39">
        <v>-22.713799999999999</v>
      </c>
      <c r="L39">
        <f t="shared" si="2"/>
        <v>-2.96</v>
      </c>
      <c r="M39">
        <f t="shared" si="3"/>
        <v>0.39686812242418529</v>
      </c>
    </row>
    <row r="40" spans="1:13" x14ac:dyDescent="0.25">
      <c r="A40">
        <v>0.16</v>
      </c>
      <c r="B40">
        <v>-41.774999999999999</v>
      </c>
      <c r="C40">
        <f t="shared" si="0"/>
        <v>0.09</v>
      </c>
      <c r="D40">
        <f t="shared" si="1"/>
        <v>2.2439748995317525E-2</v>
      </c>
      <c r="J40">
        <v>-2.61</v>
      </c>
      <c r="K40">
        <v>-23.786300000000001</v>
      </c>
      <c r="L40">
        <f t="shared" si="2"/>
        <v>-2.6799999999999997</v>
      </c>
      <c r="M40">
        <f t="shared" si="3"/>
        <v>0.34954541923342819</v>
      </c>
    </row>
    <row r="41" spans="1:13" x14ac:dyDescent="0.25">
      <c r="J41">
        <v>-2.27</v>
      </c>
      <c r="K41">
        <v>-24.93</v>
      </c>
      <c r="L41">
        <f t="shared" si="2"/>
        <v>-2.34</v>
      </c>
      <c r="M41">
        <f t="shared" si="3"/>
        <v>0.30667175556650672</v>
      </c>
    </row>
    <row r="42" spans="1:13" x14ac:dyDescent="0.25">
      <c r="J42">
        <v>-1.95</v>
      </c>
      <c r="K42">
        <v>-26.212499999999999</v>
      </c>
      <c r="L42">
        <f t="shared" si="2"/>
        <v>-2.02</v>
      </c>
      <c r="M42">
        <f t="shared" si="3"/>
        <v>0.26624764413968793</v>
      </c>
    </row>
    <row r="43" spans="1:13" x14ac:dyDescent="0.25">
      <c r="J43">
        <v>-1.76</v>
      </c>
      <c r="K43">
        <v>-27.135000000000002</v>
      </c>
      <c r="L43">
        <f t="shared" si="2"/>
        <v>-1.83</v>
      </c>
      <c r="M43">
        <f t="shared" si="3"/>
        <v>0.24132255250994394</v>
      </c>
    </row>
    <row r="44" spans="1:13" x14ac:dyDescent="0.25">
      <c r="J44">
        <v>-1.56</v>
      </c>
      <c r="K44">
        <v>-27.941299999999998</v>
      </c>
      <c r="L44">
        <f t="shared" si="2"/>
        <v>-1.6300000000000001</v>
      </c>
      <c r="M44">
        <f t="shared" si="3"/>
        <v>0.22194924810207045</v>
      </c>
    </row>
    <row r="45" spans="1:13" x14ac:dyDescent="0.25">
      <c r="J45">
        <v>-1.31</v>
      </c>
      <c r="K45">
        <v>-28.897500000000001</v>
      </c>
      <c r="L45">
        <f t="shared" si="2"/>
        <v>-1.3800000000000001</v>
      </c>
      <c r="M45">
        <f t="shared" si="3"/>
        <v>0.20150112591503191</v>
      </c>
    </row>
    <row r="46" spans="1:13" x14ac:dyDescent="0.25">
      <c r="J46">
        <v>-1.1399999999999999</v>
      </c>
      <c r="K46">
        <v>-30.135000000000002</v>
      </c>
      <c r="L46">
        <f t="shared" si="2"/>
        <v>-1.21</v>
      </c>
      <c r="M46">
        <f t="shared" si="3"/>
        <v>0.17851948734655454</v>
      </c>
    </row>
    <row r="47" spans="1:13" x14ac:dyDescent="0.25">
      <c r="J47">
        <v>-1.01</v>
      </c>
      <c r="K47">
        <v>-31.29</v>
      </c>
      <c r="L47">
        <f t="shared" si="2"/>
        <v>-1.08</v>
      </c>
      <c r="M47">
        <f t="shared" si="3"/>
        <v>0.16005757534471626</v>
      </c>
    </row>
    <row r="48" spans="1:13" x14ac:dyDescent="0.25">
      <c r="J48">
        <v>-0.9</v>
      </c>
      <c r="K48">
        <v>-32.253700000000002</v>
      </c>
      <c r="L48">
        <f t="shared" si="2"/>
        <v>-0.97</v>
      </c>
      <c r="M48">
        <f t="shared" si="3"/>
        <v>0.14651925598026186</v>
      </c>
    </row>
    <row r="49" spans="10:13" x14ac:dyDescent="0.25">
      <c r="J49">
        <v>-0.77</v>
      </c>
      <c r="K49">
        <v>-33.168700000000001</v>
      </c>
      <c r="L49">
        <f t="shared" si="2"/>
        <v>-0.84000000000000008</v>
      </c>
      <c r="M49">
        <f t="shared" si="3"/>
        <v>0.13501946809307094</v>
      </c>
    </row>
    <row r="50" spans="10:13" x14ac:dyDescent="0.25">
      <c r="J50">
        <v>-0.64</v>
      </c>
      <c r="K50">
        <v>-34.271299999999997</v>
      </c>
      <c r="L50">
        <f t="shared" si="2"/>
        <v>-0.71</v>
      </c>
      <c r="M50">
        <f t="shared" si="3"/>
        <v>0.12268320951722228</v>
      </c>
    </row>
    <row r="51" spans="10:13" x14ac:dyDescent="0.25">
      <c r="J51">
        <v>-0.54</v>
      </c>
      <c r="K51">
        <v>-35.6175</v>
      </c>
      <c r="L51">
        <f t="shared" si="2"/>
        <v>-0.6100000000000001</v>
      </c>
      <c r="M51">
        <f t="shared" si="3"/>
        <v>0.10955151865894856</v>
      </c>
    </row>
    <row r="52" spans="10:13" x14ac:dyDescent="0.25">
      <c r="J52">
        <v>-0.43</v>
      </c>
      <c r="K52">
        <v>-36.978700000000003</v>
      </c>
      <c r="L52">
        <f t="shared" si="2"/>
        <v>-0.5</v>
      </c>
      <c r="M52">
        <f t="shared" si="3"/>
        <v>9.809096926292582E-2</v>
      </c>
    </row>
    <row r="53" spans="10:13" x14ac:dyDescent="0.25">
      <c r="J53">
        <v>-0.36</v>
      </c>
      <c r="K53">
        <v>-38.204999999999998</v>
      </c>
      <c r="L53">
        <f t="shared" si="2"/>
        <v>-0.43</v>
      </c>
      <c r="M53">
        <f t="shared" si="3"/>
        <v>8.9082665132959427E-2</v>
      </c>
    </row>
    <row r="54" spans="10:13" x14ac:dyDescent="0.25">
      <c r="J54">
        <v>-0.28999999999999998</v>
      </c>
      <c r="K54">
        <v>-39.491199999999999</v>
      </c>
      <c r="L54">
        <f t="shared" si="2"/>
        <v>-0.36</v>
      </c>
      <c r="M54">
        <f t="shared" si="3"/>
        <v>8.0771007208790269E-2</v>
      </c>
    </row>
    <row r="55" spans="10:13" x14ac:dyDescent="0.25">
      <c r="J55">
        <v>-0.24</v>
      </c>
      <c r="K55">
        <v>-40.905000000000001</v>
      </c>
      <c r="L55">
        <f t="shared" si="2"/>
        <v>-0.31</v>
      </c>
      <c r="M55">
        <f t="shared" si="3"/>
        <v>7.2776610199793368E-2</v>
      </c>
    </row>
    <row r="56" spans="10:13" x14ac:dyDescent="0.25">
      <c r="J56">
        <v>-0.22</v>
      </c>
      <c r="K56">
        <v>-42.104999999999997</v>
      </c>
      <c r="L56">
        <f t="shared" si="2"/>
        <v>-0.29000000000000004</v>
      </c>
      <c r="M56">
        <f t="shared" si="3"/>
        <v>6.6793159036443867E-2</v>
      </c>
    </row>
    <row r="57" spans="10:13" x14ac:dyDescent="0.25">
      <c r="J57">
        <v>-0.21</v>
      </c>
      <c r="K57">
        <v>-42.513800000000003</v>
      </c>
      <c r="L57">
        <f t="shared" si="2"/>
        <v>-0.28000000000000003</v>
      </c>
      <c r="M57">
        <f t="shared" si="3"/>
        <v>6.4903976975149533E-2</v>
      </c>
    </row>
    <row r="58" spans="10:13" x14ac:dyDescent="0.25">
      <c r="J58">
        <v>-0.21</v>
      </c>
      <c r="K58">
        <v>-42.753799999999998</v>
      </c>
      <c r="L58">
        <f t="shared" si="2"/>
        <v>-0.28000000000000003</v>
      </c>
      <c r="M58">
        <f t="shared" si="3"/>
        <v>6.382773669826626E-2</v>
      </c>
    </row>
    <row r="59" spans="10:13" x14ac:dyDescent="0.25">
      <c r="J59">
        <v>-0.2</v>
      </c>
      <c r="K59">
        <v>-42.933799999999998</v>
      </c>
      <c r="L59">
        <f t="shared" si="2"/>
        <v>-0.27</v>
      </c>
      <c r="M59">
        <f t="shared" si="3"/>
        <v>6.3036017093508534E-2</v>
      </c>
    </row>
    <row r="60" spans="10:13" x14ac:dyDescent="0.25">
      <c r="J60">
        <v>-0.18</v>
      </c>
      <c r="K60">
        <v>-43.5</v>
      </c>
      <c r="L60">
        <f t="shared" si="2"/>
        <v>-0.25</v>
      </c>
      <c r="M60">
        <f t="shared" si="3"/>
        <v>6.0628866169211176E-2</v>
      </c>
    </row>
    <row r="61" spans="10:13" x14ac:dyDescent="0.25">
      <c r="J61">
        <v>-0.17</v>
      </c>
      <c r="K61">
        <v>-44.347499999999997</v>
      </c>
      <c r="L61">
        <f t="shared" si="2"/>
        <v>-0.24000000000000002</v>
      </c>
      <c r="M61">
        <f t="shared" si="3"/>
        <v>5.7248254101054108E-2</v>
      </c>
    </row>
    <row r="62" spans="10:13" x14ac:dyDescent="0.25">
      <c r="J62">
        <v>-0.16</v>
      </c>
      <c r="K62">
        <v>-44.936300000000003</v>
      </c>
      <c r="L62">
        <f t="shared" si="2"/>
        <v>-0.23</v>
      </c>
      <c r="M62">
        <f t="shared" si="3"/>
        <v>5.5045371348398264E-2</v>
      </c>
    </row>
    <row r="63" spans="10:13" x14ac:dyDescent="0.25">
      <c r="J63">
        <v>-0.15</v>
      </c>
      <c r="K63">
        <v>-45.558799999999998</v>
      </c>
      <c r="L63">
        <f t="shared" si="2"/>
        <v>-0.22</v>
      </c>
      <c r="M63">
        <f t="shared" si="3"/>
        <v>5.2836953783251206E-2</v>
      </c>
    </row>
    <row r="64" spans="10:13" x14ac:dyDescent="0.25">
      <c r="J64">
        <v>-0.15</v>
      </c>
      <c r="K64">
        <v>-46.068800000000003</v>
      </c>
      <c r="L64">
        <f t="shared" si="2"/>
        <v>-0.22</v>
      </c>
      <c r="M64">
        <f t="shared" si="3"/>
        <v>5.1114419705911018E-2</v>
      </c>
    </row>
    <row r="65" spans="10:13" x14ac:dyDescent="0.25">
      <c r="J65">
        <v>-0.15</v>
      </c>
      <c r="K65">
        <v>-46.1325</v>
      </c>
      <c r="L65">
        <f t="shared" si="2"/>
        <v>-0.22</v>
      </c>
      <c r="M65">
        <f t="shared" si="3"/>
        <v>5.090453109070156E-2</v>
      </c>
    </row>
    <row r="66" spans="10:13" x14ac:dyDescent="0.25">
      <c r="J66">
        <v>-0.15</v>
      </c>
      <c r="K66">
        <v>-46.181199999999997</v>
      </c>
      <c r="L66">
        <f t="shared" si="2"/>
        <v>-0.22</v>
      </c>
      <c r="M66">
        <f t="shared" si="3"/>
        <v>5.07448372600676E-2</v>
      </c>
    </row>
    <row r="67" spans="10:13" x14ac:dyDescent="0.25">
      <c r="J67">
        <v>-0.14000000000000001</v>
      </c>
      <c r="K67">
        <v>-46.155000000000001</v>
      </c>
      <c r="L67">
        <f t="shared" si="2"/>
        <v>-0.21000000000000002</v>
      </c>
      <c r="M67">
        <f t="shared" si="3"/>
        <v>5.0830667852886681E-2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"/>
  <sheetViews>
    <sheetView tabSelected="1" workbookViewId="0">
      <selection activeCell="G23" sqref="G23"/>
    </sheetView>
  </sheetViews>
  <sheetFormatPr baseColWidth="10" defaultRowHeight="15" x14ac:dyDescent="0.25"/>
  <sheetData>
    <row r="1" spans="1:17" x14ac:dyDescent="0.25">
      <c r="A1" t="s">
        <v>22</v>
      </c>
      <c r="B1" t="s">
        <v>23</v>
      </c>
      <c r="J1" t="s">
        <v>24</v>
      </c>
      <c r="K1" t="s">
        <v>25</v>
      </c>
    </row>
    <row r="2" spans="1:17" x14ac:dyDescent="0.25">
      <c r="A2" t="s">
        <v>21</v>
      </c>
      <c r="B2" t="s">
        <v>21</v>
      </c>
      <c r="J2" t="s">
        <v>26</v>
      </c>
      <c r="K2" t="s">
        <v>26</v>
      </c>
    </row>
    <row r="3" spans="1:17" x14ac:dyDescent="0.25">
      <c r="A3" t="s">
        <v>17</v>
      </c>
      <c r="B3" t="s">
        <v>18</v>
      </c>
      <c r="J3" t="s">
        <v>17</v>
      </c>
      <c r="K3" t="s">
        <v>18</v>
      </c>
    </row>
    <row r="4" spans="1:17" x14ac:dyDescent="0.25">
      <c r="C4" t="s">
        <v>27</v>
      </c>
      <c r="D4" t="s">
        <v>29</v>
      </c>
      <c r="E4" t="s">
        <v>31</v>
      </c>
      <c r="G4" t="s">
        <v>20</v>
      </c>
      <c r="H4">
        <v>10</v>
      </c>
      <c r="L4" t="s">
        <v>28</v>
      </c>
      <c r="M4" t="s">
        <v>29</v>
      </c>
      <c r="N4" t="s">
        <v>31</v>
      </c>
      <c r="P4" t="s">
        <v>20</v>
      </c>
      <c r="Q4">
        <v>10</v>
      </c>
    </row>
    <row r="5" spans="1:17" x14ac:dyDescent="0.25">
      <c r="A5">
        <v>-0.78</v>
      </c>
      <c r="B5">
        <v>-3.7000000000000002E-3</v>
      </c>
      <c r="C5">
        <f>A5-0.07</f>
        <v>-0.85000000000000009</v>
      </c>
      <c r="D5">
        <f>$H$5*$H$7*$H$4^2/(2*(B5^2+$H$4^2)^(3/2))</f>
        <v>5.0265472077984964E-3</v>
      </c>
      <c r="G5" s="1" t="s">
        <v>32</v>
      </c>
      <c r="H5">
        <v>0.12566370599999999</v>
      </c>
      <c r="J5">
        <v>-0.63</v>
      </c>
      <c r="K5">
        <v>-4.4999999999999998E-2</v>
      </c>
      <c r="L5">
        <f>J5-0.07</f>
        <v>-0.7</v>
      </c>
      <c r="M5">
        <f>$Q$5*$Q$7*$Q$4^2/(2*(K5^2+$Q$4^2)^(3/2))</f>
        <v>5.026395562461863E-3</v>
      </c>
      <c r="P5" s="1" t="s">
        <v>32</v>
      </c>
      <c r="Q5">
        <v>0.12566370599999999</v>
      </c>
    </row>
    <row r="6" spans="1:17" x14ac:dyDescent="0.25">
      <c r="A6">
        <v>-0.89</v>
      </c>
      <c r="B6">
        <v>-0.28129999999999999</v>
      </c>
      <c r="C6">
        <f t="shared" ref="C6:C49" si="0">A6-0.07</f>
        <v>-0.96</v>
      </c>
      <c r="D6">
        <f t="shared" ref="D6:D49" si="1">$H$5*$H$7*$H$4^2/(2*(B6^2+$H$4^2)^(3/2))</f>
        <v>5.0205878978289362E-3</v>
      </c>
      <c r="G6" t="s">
        <v>33</v>
      </c>
      <c r="H6">
        <v>500</v>
      </c>
      <c r="J6">
        <v>-0.64</v>
      </c>
      <c r="K6">
        <v>-4.87E-2</v>
      </c>
      <c r="L6">
        <f t="shared" ref="L6:L54" si="2">J6-0.07</f>
        <v>-0.71</v>
      </c>
      <c r="M6">
        <f t="shared" ref="M6:M54" si="3">$Q$5*$Q$7*$Q$4^2/(2*(K6^2+$Q$4^2)^(3/2))</f>
        <v>5.0263694240882742E-3</v>
      </c>
      <c r="P6" t="s">
        <v>33</v>
      </c>
      <c r="Q6">
        <v>500</v>
      </c>
    </row>
    <row r="7" spans="1:17" x14ac:dyDescent="0.25">
      <c r="A7">
        <v>-1.02</v>
      </c>
      <c r="B7">
        <v>-1.3388</v>
      </c>
      <c r="C7">
        <f t="shared" si="0"/>
        <v>-1.0900000000000001</v>
      </c>
      <c r="D7">
        <f t="shared" si="1"/>
        <v>4.8943713451489847E-3</v>
      </c>
      <c r="G7" t="s">
        <v>34</v>
      </c>
      <c r="H7">
        <v>0.8</v>
      </c>
      <c r="J7">
        <v>-0.69</v>
      </c>
      <c r="K7">
        <v>-9.3700000000000006E-2</v>
      </c>
      <c r="L7">
        <f t="shared" si="2"/>
        <v>-0.76</v>
      </c>
      <c r="M7">
        <f t="shared" si="3"/>
        <v>5.0258863396117738E-3</v>
      </c>
      <c r="P7" t="s">
        <v>34</v>
      </c>
      <c r="Q7">
        <v>0.8</v>
      </c>
    </row>
    <row r="8" spans="1:17" x14ac:dyDescent="0.25">
      <c r="A8">
        <v>-1.24</v>
      </c>
      <c r="B8">
        <v>-2.2949999999999999</v>
      </c>
      <c r="C8">
        <f t="shared" si="0"/>
        <v>-1.31</v>
      </c>
      <c r="D8">
        <f t="shared" si="1"/>
        <v>4.6540530663891711E-3</v>
      </c>
      <c r="G8" t="s">
        <v>24</v>
      </c>
      <c r="H8">
        <f>H4*1.5</f>
        <v>15</v>
      </c>
      <c r="J8">
        <v>-0.82</v>
      </c>
      <c r="K8">
        <v>-0.66</v>
      </c>
      <c r="L8">
        <f t="shared" si="2"/>
        <v>-0.8899999999999999</v>
      </c>
      <c r="M8">
        <f t="shared" si="3"/>
        <v>4.9938827020781246E-3</v>
      </c>
      <c r="P8" t="s">
        <v>24</v>
      </c>
      <c r="Q8">
        <f>Q4*0.5</f>
        <v>5</v>
      </c>
    </row>
    <row r="9" spans="1:17" x14ac:dyDescent="0.25">
      <c r="A9">
        <v>-1.48</v>
      </c>
      <c r="B9">
        <v>-3.6</v>
      </c>
      <c r="C9">
        <f t="shared" si="0"/>
        <v>-1.55</v>
      </c>
      <c r="D9">
        <f t="shared" si="1"/>
        <v>4.1868059172865653E-3</v>
      </c>
      <c r="J9">
        <v>-0.98</v>
      </c>
      <c r="K9">
        <v>-2.1524999999999999</v>
      </c>
      <c r="L9">
        <f t="shared" si="2"/>
        <v>-1.05</v>
      </c>
      <c r="M9">
        <f t="shared" si="3"/>
        <v>4.6964017726131863E-3</v>
      </c>
    </row>
    <row r="10" spans="1:17" x14ac:dyDescent="0.25">
      <c r="A10">
        <v>-1.85</v>
      </c>
      <c r="B10">
        <v>-5.04</v>
      </c>
      <c r="C10">
        <f t="shared" si="0"/>
        <v>-1.9200000000000002</v>
      </c>
      <c r="D10">
        <f t="shared" si="1"/>
        <v>3.5794412471003398E-3</v>
      </c>
      <c r="J10">
        <v>-1.04</v>
      </c>
      <c r="K10">
        <v>-3.36</v>
      </c>
      <c r="L10">
        <f t="shared" si="2"/>
        <v>-1.1100000000000001</v>
      </c>
      <c r="M10">
        <f t="shared" si="3"/>
        <v>4.2814214707408782E-3</v>
      </c>
    </row>
    <row r="11" spans="1:17" x14ac:dyDescent="0.25">
      <c r="A11">
        <v>-2.3199999999999998</v>
      </c>
      <c r="B11">
        <v>-6.7649999999999997</v>
      </c>
      <c r="C11">
        <f t="shared" si="0"/>
        <v>-2.3899999999999997</v>
      </c>
      <c r="D11">
        <f t="shared" si="1"/>
        <v>2.8562022955243784E-3</v>
      </c>
      <c r="J11">
        <v>-1.19</v>
      </c>
      <c r="K11">
        <v>-3.6637</v>
      </c>
      <c r="L11">
        <f t="shared" si="2"/>
        <v>-1.26</v>
      </c>
      <c r="M11">
        <f t="shared" si="3"/>
        <v>4.1612125161911359E-3</v>
      </c>
    </row>
    <row r="12" spans="1:17" x14ac:dyDescent="0.25">
      <c r="A12">
        <v>-2.66</v>
      </c>
      <c r="B12">
        <v>-8.5686999999999998</v>
      </c>
      <c r="C12">
        <f t="shared" si="0"/>
        <v>-2.73</v>
      </c>
      <c r="D12">
        <f t="shared" si="1"/>
        <v>2.2009553962475804E-3</v>
      </c>
      <c r="J12">
        <v>-1.45</v>
      </c>
      <c r="K12">
        <v>-4.3125</v>
      </c>
      <c r="L12">
        <f t="shared" si="2"/>
        <v>-1.52</v>
      </c>
      <c r="M12">
        <f t="shared" si="3"/>
        <v>3.8918464315787302E-3</v>
      </c>
    </row>
    <row r="13" spans="1:17" x14ac:dyDescent="0.25">
      <c r="A13">
        <v>-2.83</v>
      </c>
      <c r="B13">
        <v>-10.1812</v>
      </c>
      <c r="C13">
        <f t="shared" si="0"/>
        <v>-2.9</v>
      </c>
      <c r="D13">
        <f t="shared" si="1"/>
        <v>1.7295032186122367E-3</v>
      </c>
      <c r="J13">
        <v>-1.78</v>
      </c>
      <c r="K13">
        <v>-5.6661999999999999</v>
      </c>
      <c r="L13">
        <f t="shared" si="2"/>
        <v>-1.85</v>
      </c>
      <c r="M13">
        <f t="shared" si="3"/>
        <v>3.310449110431254E-3</v>
      </c>
    </row>
    <row r="14" spans="1:17" x14ac:dyDescent="0.25">
      <c r="A14">
        <v>-2.85</v>
      </c>
      <c r="B14">
        <v>-11.715</v>
      </c>
      <c r="C14">
        <f t="shared" si="0"/>
        <v>-2.92</v>
      </c>
      <c r="D14">
        <f t="shared" si="1"/>
        <v>1.37557608898064E-3</v>
      </c>
      <c r="J14">
        <v>-2.12</v>
      </c>
      <c r="K14">
        <v>-7.1924999999999999</v>
      </c>
      <c r="L14">
        <f t="shared" si="2"/>
        <v>-2.19</v>
      </c>
      <c r="M14">
        <f t="shared" si="3"/>
        <v>2.6893903351452348E-3</v>
      </c>
    </row>
    <row r="15" spans="1:17" x14ac:dyDescent="0.25">
      <c r="A15">
        <v>-2.78</v>
      </c>
      <c r="B15">
        <v>-12.952500000000001</v>
      </c>
      <c r="C15">
        <f t="shared" si="0"/>
        <v>-2.8499999999999996</v>
      </c>
      <c r="D15">
        <f t="shared" si="1"/>
        <v>1.1471855081165167E-3</v>
      </c>
      <c r="J15">
        <v>-2.5299999999999998</v>
      </c>
      <c r="K15">
        <v>-8.3887</v>
      </c>
      <c r="L15">
        <f t="shared" si="2"/>
        <v>-2.5999999999999996</v>
      </c>
      <c r="M15">
        <f t="shared" si="3"/>
        <v>2.2603675802164787E-3</v>
      </c>
    </row>
    <row r="16" spans="1:17" x14ac:dyDescent="0.25">
      <c r="A16">
        <v>-2.67</v>
      </c>
      <c r="B16">
        <v>-13.875</v>
      </c>
      <c r="C16">
        <f t="shared" si="0"/>
        <v>-2.7399999999999998</v>
      </c>
      <c r="D16">
        <f t="shared" si="1"/>
        <v>1.0047227842175869E-3</v>
      </c>
      <c r="J16">
        <v>-2.89</v>
      </c>
      <c r="K16">
        <v>-9.5399999999999991</v>
      </c>
      <c r="L16">
        <f t="shared" si="2"/>
        <v>-2.96</v>
      </c>
      <c r="M16">
        <f t="shared" si="3"/>
        <v>1.9040582971556847E-3</v>
      </c>
    </row>
    <row r="17" spans="1:13" x14ac:dyDescent="0.25">
      <c r="A17">
        <v>-2.58</v>
      </c>
      <c r="B17">
        <v>-14.595000000000001</v>
      </c>
      <c r="C17">
        <f t="shared" si="0"/>
        <v>-2.65</v>
      </c>
      <c r="D17">
        <f t="shared" si="1"/>
        <v>9.076620113893279E-4</v>
      </c>
      <c r="J17">
        <v>-3.22</v>
      </c>
      <c r="K17">
        <v>-10.5787</v>
      </c>
      <c r="L17">
        <f t="shared" si="2"/>
        <v>-3.29</v>
      </c>
      <c r="M17">
        <f t="shared" si="3"/>
        <v>1.629468909926141E-3</v>
      </c>
    </row>
    <row r="18" spans="1:13" x14ac:dyDescent="0.25">
      <c r="A18">
        <v>-2.46</v>
      </c>
      <c r="B18">
        <v>-15.4125</v>
      </c>
      <c r="C18">
        <f t="shared" si="0"/>
        <v>-2.5299999999999998</v>
      </c>
      <c r="D18">
        <f t="shared" si="1"/>
        <v>8.1053548791361644E-4</v>
      </c>
      <c r="J18">
        <v>-3.53</v>
      </c>
      <c r="K18">
        <v>-11.4975</v>
      </c>
      <c r="L18">
        <f t="shared" si="2"/>
        <v>-3.5999999999999996</v>
      </c>
      <c r="M18">
        <f t="shared" si="3"/>
        <v>1.4206842177614E-3</v>
      </c>
    </row>
    <row r="19" spans="1:13" x14ac:dyDescent="0.25">
      <c r="A19">
        <v>-2.35</v>
      </c>
      <c r="B19">
        <v>-16.574999999999999</v>
      </c>
      <c r="C19">
        <f t="shared" si="0"/>
        <v>-2.42</v>
      </c>
      <c r="D19">
        <f t="shared" si="1"/>
        <v>6.9293272748983394E-4</v>
      </c>
      <c r="J19">
        <v>-3.84</v>
      </c>
      <c r="K19">
        <v>-12.404999999999999</v>
      </c>
      <c r="L19">
        <f t="shared" si="2"/>
        <v>-3.9099999999999997</v>
      </c>
      <c r="M19">
        <f t="shared" si="3"/>
        <v>1.2425583511046217E-3</v>
      </c>
    </row>
    <row r="20" spans="1:13" x14ac:dyDescent="0.25">
      <c r="A20">
        <v>-2.33</v>
      </c>
      <c r="B20">
        <v>-17.9925</v>
      </c>
      <c r="C20">
        <f t="shared" si="0"/>
        <v>-2.4</v>
      </c>
      <c r="D20">
        <f t="shared" si="1"/>
        <v>5.7628318636926651E-4</v>
      </c>
      <c r="J20">
        <v>-4.09</v>
      </c>
      <c r="K20">
        <v>-13.3687</v>
      </c>
      <c r="L20">
        <f t="shared" si="2"/>
        <v>-4.16</v>
      </c>
      <c r="M20">
        <f t="shared" si="3"/>
        <v>1.0802210943944791E-3</v>
      </c>
    </row>
    <row r="21" spans="1:13" x14ac:dyDescent="0.25">
      <c r="A21">
        <v>-2.41</v>
      </c>
      <c r="B21">
        <v>-19.3538</v>
      </c>
      <c r="C21">
        <f t="shared" si="0"/>
        <v>-2.48</v>
      </c>
      <c r="D21">
        <f t="shared" si="1"/>
        <v>4.8620566854586973E-4</v>
      </c>
      <c r="J21">
        <v>-4.24</v>
      </c>
      <c r="K21">
        <v>-14.2012</v>
      </c>
      <c r="L21">
        <f t="shared" si="2"/>
        <v>-4.3100000000000005</v>
      </c>
      <c r="M21">
        <f t="shared" si="3"/>
        <v>9.5931858082283624E-4</v>
      </c>
    </row>
    <row r="22" spans="1:13" x14ac:dyDescent="0.25">
      <c r="A22">
        <v>-2.61</v>
      </c>
      <c r="B22">
        <v>-20.842500000000001</v>
      </c>
      <c r="C22">
        <f t="shared" si="0"/>
        <v>-2.6799999999999997</v>
      </c>
      <c r="D22">
        <f t="shared" si="1"/>
        <v>4.0687239635202863E-4</v>
      </c>
      <c r="J22">
        <v>-4.3600000000000003</v>
      </c>
      <c r="K22">
        <v>-14.97</v>
      </c>
      <c r="L22">
        <f t="shared" si="2"/>
        <v>-4.4300000000000006</v>
      </c>
      <c r="M22">
        <f t="shared" si="3"/>
        <v>8.6148852950731364E-4</v>
      </c>
    </row>
    <row r="23" spans="1:13" x14ac:dyDescent="0.25">
      <c r="A23">
        <v>-2.78</v>
      </c>
      <c r="B23">
        <v>-22.717500000000001</v>
      </c>
      <c r="C23">
        <f t="shared" si="0"/>
        <v>-2.8499999999999996</v>
      </c>
      <c r="D23">
        <f t="shared" si="1"/>
        <v>3.2870711690360504E-4</v>
      </c>
      <c r="J23">
        <v>-4.38</v>
      </c>
      <c r="K23">
        <v>-15.858700000000001</v>
      </c>
      <c r="L23">
        <f t="shared" si="2"/>
        <v>-4.45</v>
      </c>
      <c r="M23">
        <f t="shared" si="3"/>
        <v>7.6275469531731982E-4</v>
      </c>
    </row>
    <row r="24" spans="1:13" x14ac:dyDescent="0.25">
      <c r="A24">
        <v>-2.82</v>
      </c>
      <c r="B24">
        <v>-24.5213</v>
      </c>
      <c r="C24">
        <f t="shared" si="0"/>
        <v>-2.8899999999999997</v>
      </c>
      <c r="D24">
        <f t="shared" si="1"/>
        <v>2.7065716419921455E-4</v>
      </c>
      <c r="J24">
        <v>-4.3600000000000003</v>
      </c>
      <c r="K24">
        <v>-16.533799999999999</v>
      </c>
      <c r="L24">
        <f t="shared" si="2"/>
        <v>-4.4300000000000006</v>
      </c>
      <c r="M24">
        <f t="shared" si="3"/>
        <v>6.9673360469749894E-4</v>
      </c>
    </row>
    <row r="25" spans="1:13" x14ac:dyDescent="0.25">
      <c r="A25">
        <v>-2.73</v>
      </c>
      <c r="B25">
        <v>-25.844999999999999</v>
      </c>
      <c r="C25">
        <f t="shared" si="0"/>
        <v>-2.8</v>
      </c>
      <c r="D25">
        <f t="shared" si="1"/>
        <v>2.3618838721712715E-4</v>
      </c>
      <c r="J25">
        <v>-4.28</v>
      </c>
      <c r="K25">
        <v>-17.3475</v>
      </c>
      <c r="L25">
        <f t="shared" si="2"/>
        <v>-4.3500000000000005</v>
      </c>
      <c r="M25">
        <f t="shared" si="3"/>
        <v>6.2612013616131917E-4</v>
      </c>
    </row>
    <row r="26" spans="1:13" x14ac:dyDescent="0.25">
      <c r="A26">
        <v>-2.5299999999999998</v>
      </c>
      <c r="B26">
        <v>-27.015000000000001</v>
      </c>
      <c r="C26">
        <f t="shared" si="0"/>
        <v>-2.5999999999999996</v>
      </c>
      <c r="D26">
        <f t="shared" si="1"/>
        <v>2.1028179808289316E-4</v>
      </c>
      <c r="J26">
        <v>-4.1500000000000004</v>
      </c>
      <c r="K26">
        <v>-18.052499999999998</v>
      </c>
      <c r="L26">
        <f t="shared" si="2"/>
        <v>-4.2200000000000006</v>
      </c>
      <c r="M26">
        <f t="shared" si="3"/>
        <v>5.7189918102229715E-4</v>
      </c>
    </row>
    <row r="27" spans="1:13" x14ac:dyDescent="0.25">
      <c r="A27">
        <v>-2.2799999999999998</v>
      </c>
      <c r="B27">
        <v>-28.177499999999998</v>
      </c>
      <c r="C27">
        <f t="shared" si="0"/>
        <v>-2.3499999999999996</v>
      </c>
      <c r="D27">
        <f t="shared" si="1"/>
        <v>1.8805476398879822E-4</v>
      </c>
      <c r="J27">
        <v>-3.87</v>
      </c>
      <c r="K27">
        <v>-18.746300000000002</v>
      </c>
      <c r="L27">
        <f t="shared" si="2"/>
        <v>-3.94</v>
      </c>
      <c r="M27">
        <f t="shared" si="3"/>
        <v>5.2407474160178998E-4</v>
      </c>
    </row>
    <row r="28" spans="1:13" x14ac:dyDescent="0.25">
      <c r="A28">
        <v>-1.98</v>
      </c>
      <c r="B28">
        <v>-29.283799999999999</v>
      </c>
      <c r="C28">
        <f t="shared" si="0"/>
        <v>-2.0499999999999998</v>
      </c>
      <c r="D28">
        <f t="shared" si="1"/>
        <v>1.6964217267935314E-4</v>
      </c>
      <c r="J28">
        <v>-3.51</v>
      </c>
      <c r="K28">
        <v>-19.852499999999999</v>
      </c>
      <c r="L28">
        <f t="shared" si="2"/>
        <v>-3.5799999999999996</v>
      </c>
      <c r="M28">
        <f t="shared" si="3"/>
        <v>4.5763463998820789E-4</v>
      </c>
    </row>
    <row r="29" spans="1:13" x14ac:dyDescent="0.25">
      <c r="A29">
        <v>-1.74</v>
      </c>
      <c r="B29">
        <v>-30.375</v>
      </c>
      <c r="C29">
        <f t="shared" si="0"/>
        <v>-1.81</v>
      </c>
      <c r="D29">
        <f t="shared" si="1"/>
        <v>1.5370404356787804E-4</v>
      </c>
      <c r="J29">
        <v>-3.01</v>
      </c>
      <c r="K29">
        <v>-21.15</v>
      </c>
      <c r="L29">
        <f t="shared" si="2"/>
        <v>-3.0799999999999996</v>
      </c>
      <c r="M29">
        <f t="shared" si="3"/>
        <v>3.9255896671108699E-4</v>
      </c>
    </row>
    <row r="30" spans="1:13" x14ac:dyDescent="0.25">
      <c r="A30">
        <v>-1.56</v>
      </c>
      <c r="B30">
        <v>-31.4663</v>
      </c>
      <c r="C30">
        <f t="shared" si="0"/>
        <v>-1.6300000000000001</v>
      </c>
      <c r="D30">
        <f t="shared" si="1"/>
        <v>1.3965406822220603E-4</v>
      </c>
      <c r="J30">
        <v>-2.52</v>
      </c>
      <c r="K30">
        <v>-22.533799999999999</v>
      </c>
      <c r="L30">
        <f t="shared" si="2"/>
        <v>-2.59</v>
      </c>
      <c r="M30">
        <f t="shared" si="3"/>
        <v>3.3547384762164727E-4</v>
      </c>
    </row>
    <row r="31" spans="1:13" x14ac:dyDescent="0.25">
      <c r="A31">
        <v>-1.4</v>
      </c>
      <c r="B31">
        <v>-32.43</v>
      </c>
      <c r="C31">
        <f t="shared" si="0"/>
        <v>-1.47</v>
      </c>
      <c r="D31">
        <f t="shared" si="1"/>
        <v>1.2860505308188064E-4</v>
      </c>
      <c r="J31">
        <v>-2.1</v>
      </c>
      <c r="K31">
        <v>-23.9438</v>
      </c>
      <c r="L31">
        <f t="shared" si="2"/>
        <v>-2.17</v>
      </c>
      <c r="M31">
        <f t="shared" si="3"/>
        <v>2.8770774637128802E-4</v>
      </c>
    </row>
    <row r="32" spans="1:13" x14ac:dyDescent="0.25">
      <c r="A32">
        <v>-1.1299999999999999</v>
      </c>
      <c r="B32">
        <v>-33.247500000000002</v>
      </c>
      <c r="C32">
        <f t="shared" si="0"/>
        <v>-1.2</v>
      </c>
      <c r="D32">
        <f t="shared" si="1"/>
        <v>1.2010887451540812E-4</v>
      </c>
      <c r="J32">
        <v>-1.83</v>
      </c>
      <c r="K32">
        <v>-25.102499999999999</v>
      </c>
      <c r="L32">
        <f t="shared" si="2"/>
        <v>-1.9000000000000001</v>
      </c>
      <c r="M32">
        <f t="shared" si="3"/>
        <v>2.5477960034240042E-4</v>
      </c>
    </row>
    <row r="33" spans="1:13" x14ac:dyDescent="0.25">
      <c r="A33">
        <v>-0.88</v>
      </c>
      <c r="B33">
        <v>-34.773800000000001</v>
      </c>
      <c r="C33">
        <f t="shared" si="0"/>
        <v>-0.95</v>
      </c>
      <c r="D33">
        <f t="shared" si="1"/>
        <v>1.061090235780977E-4</v>
      </c>
      <c r="J33">
        <v>-1.58</v>
      </c>
      <c r="K33">
        <v>-26.04</v>
      </c>
      <c r="L33">
        <f t="shared" si="2"/>
        <v>-1.6500000000000001</v>
      </c>
      <c r="M33">
        <f t="shared" si="3"/>
        <v>2.3159657737613555E-4</v>
      </c>
    </row>
    <row r="34" spans="1:13" x14ac:dyDescent="0.25">
      <c r="A34">
        <v>-0.68</v>
      </c>
      <c r="B34">
        <v>-36.622500000000002</v>
      </c>
      <c r="C34">
        <f t="shared" si="0"/>
        <v>-0.75</v>
      </c>
      <c r="D34">
        <f t="shared" si="1"/>
        <v>9.1871346534016409E-5</v>
      </c>
      <c r="J34">
        <v>-1.28</v>
      </c>
      <c r="K34">
        <v>-27.1313</v>
      </c>
      <c r="L34">
        <f t="shared" si="2"/>
        <v>-1.35</v>
      </c>
      <c r="M34">
        <f t="shared" si="3"/>
        <v>2.079106437646385E-4</v>
      </c>
    </row>
    <row r="35" spans="1:13" x14ac:dyDescent="0.25">
      <c r="A35">
        <v>-0.53</v>
      </c>
      <c r="B35">
        <v>-38.332500000000003</v>
      </c>
      <c r="C35">
        <f t="shared" si="0"/>
        <v>-0.60000000000000009</v>
      </c>
      <c r="D35">
        <f t="shared" si="1"/>
        <v>8.0849521401921514E-5</v>
      </c>
      <c r="J35">
        <v>-1.1399999999999999</v>
      </c>
      <c r="K35">
        <v>-28.35</v>
      </c>
      <c r="L35">
        <f t="shared" si="2"/>
        <v>-1.21</v>
      </c>
      <c r="M35">
        <f t="shared" si="3"/>
        <v>1.8501937615285116E-4</v>
      </c>
    </row>
    <row r="36" spans="1:13" x14ac:dyDescent="0.25">
      <c r="A36">
        <v>-0.46</v>
      </c>
      <c r="B36">
        <v>-39.836199999999998</v>
      </c>
      <c r="C36">
        <f t="shared" si="0"/>
        <v>-0.53</v>
      </c>
      <c r="D36">
        <f t="shared" si="1"/>
        <v>7.2548265047854159E-5</v>
      </c>
      <c r="J36">
        <v>-0.99</v>
      </c>
      <c r="K36">
        <v>-29.077500000000001</v>
      </c>
      <c r="L36">
        <f t="shared" si="2"/>
        <v>-1.06</v>
      </c>
      <c r="M36">
        <f t="shared" si="3"/>
        <v>1.7289278169722953E-4</v>
      </c>
    </row>
    <row r="37" spans="1:13" x14ac:dyDescent="0.25">
      <c r="A37">
        <v>-0.43</v>
      </c>
      <c r="B37">
        <v>-40.766199999999998</v>
      </c>
      <c r="C37">
        <f t="shared" si="0"/>
        <v>-0.5</v>
      </c>
      <c r="D37">
        <f t="shared" si="1"/>
        <v>6.7967959821770452E-5</v>
      </c>
      <c r="J37">
        <v>-0.84</v>
      </c>
      <c r="K37">
        <v>-30.108799999999999</v>
      </c>
      <c r="L37">
        <f t="shared" si="2"/>
        <v>-0.90999999999999992</v>
      </c>
      <c r="M37">
        <f t="shared" si="3"/>
        <v>1.5740676822513828E-4</v>
      </c>
    </row>
    <row r="38" spans="1:13" x14ac:dyDescent="0.25">
      <c r="A38">
        <v>-0.42</v>
      </c>
      <c r="B38">
        <v>-40.994999999999997</v>
      </c>
      <c r="C38">
        <f t="shared" si="0"/>
        <v>-0.49</v>
      </c>
      <c r="D38">
        <f t="shared" si="1"/>
        <v>6.689966618074586E-5</v>
      </c>
      <c r="J38">
        <v>-0.71</v>
      </c>
      <c r="K38">
        <v>-31.2713</v>
      </c>
      <c r="L38">
        <f t="shared" si="2"/>
        <v>-0.78</v>
      </c>
      <c r="M38">
        <f t="shared" si="3"/>
        <v>1.4203836027084729E-4</v>
      </c>
    </row>
    <row r="39" spans="1:13" x14ac:dyDescent="0.25">
      <c r="A39">
        <v>-0.39</v>
      </c>
      <c r="B39">
        <v>-41.107500000000002</v>
      </c>
      <c r="C39">
        <f t="shared" si="0"/>
        <v>-0.46</v>
      </c>
      <c r="D39">
        <f t="shared" si="1"/>
        <v>6.6382473918466403E-5</v>
      </c>
      <c r="J39">
        <v>-0.62</v>
      </c>
      <c r="K39">
        <v>-32.448799999999999</v>
      </c>
      <c r="L39">
        <f t="shared" si="2"/>
        <v>-0.69</v>
      </c>
      <c r="M39">
        <f t="shared" si="3"/>
        <v>1.2840102303166411E-4</v>
      </c>
    </row>
    <row r="40" spans="1:13" x14ac:dyDescent="0.25">
      <c r="A40">
        <v>-0.36</v>
      </c>
      <c r="B40">
        <v>-41.384999999999998</v>
      </c>
      <c r="C40">
        <f t="shared" si="0"/>
        <v>-0.43</v>
      </c>
      <c r="D40">
        <f t="shared" si="1"/>
        <v>6.5128998968478878E-5</v>
      </c>
      <c r="J40">
        <v>-0.53</v>
      </c>
      <c r="K40">
        <v>-33.615000000000002</v>
      </c>
      <c r="L40">
        <f t="shared" si="2"/>
        <v>-0.60000000000000009</v>
      </c>
      <c r="M40">
        <f t="shared" si="3"/>
        <v>1.1652765768691992E-4</v>
      </c>
    </row>
    <row r="41" spans="1:13" x14ac:dyDescent="0.25">
      <c r="A41">
        <v>-0.32</v>
      </c>
      <c r="B41">
        <v>-42.123699999999999</v>
      </c>
      <c r="C41">
        <f t="shared" si="0"/>
        <v>-0.39</v>
      </c>
      <c r="D41">
        <f t="shared" si="1"/>
        <v>6.194044495841051E-5</v>
      </c>
      <c r="J41">
        <v>-0.47</v>
      </c>
      <c r="K41">
        <v>-34.751300000000001</v>
      </c>
      <c r="L41">
        <f t="shared" si="2"/>
        <v>-0.54</v>
      </c>
      <c r="M41">
        <f t="shared" si="3"/>
        <v>1.0629948415307538E-4</v>
      </c>
    </row>
    <row r="42" spans="1:13" x14ac:dyDescent="0.25">
      <c r="A42">
        <v>-0.28000000000000003</v>
      </c>
      <c r="B42">
        <v>-42.791200000000003</v>
      </c>
      <c r="C42">
        <f t="shared" si="0"/>
        <v>-0.35000000000000003</v>
      </c>
      <c r="D42">
        <f t="shared" si="1"/>
        <v>5.9233468331071874E-5</v>
      </c>
      <c r="J42">
        <v>-0.42</v>
      </c>
      <c r="K42">
        <v>-35.79</v>
      </c>
      <c r="L42">
        <f t="shared" si="2"/>
        <v>-0.49</v>
      </c>
      <c r="M42">
        <f t="shared" si="3"/>
        <v>9.7952413511708815E-5</v>
      </c>
    </row>
    <row r="43" spans="1:13" x14ac:dyDescent="0.25">
      <c r="A43">
        <v>-0.26</v>
      </c>
      <c r="B43">
        <v>-43.728700000000003</v>
      </c>
      <c r="C43">
        <f t="shared" si="0"/>
        <v>-0.33</v>
      </c>
      <c r="D43">
        <f t="shared" si="1"/>
        <v>5.5688227590362232E-5</v>
      </c>
      <c r="J43">
        <v>-0.38</v>
      </c>
      <c r="K43">
        <v>-36.8063</v>
      </c>
      <c r="L43">
        <f t="shared" si="2"/>
        <v>-0.45</v>
      </c>
      <c r="M43">
        <f t="shared" si="3"/>
        <v>9.0595793012458755E-5</v>
      </c>
    </row>
    <row r="44" spans="1:13" x14ac:dyDescent="0.25">
      <c r="A44">
        <v>-0.25</v>
      </c>
      <c r="B44">
        <v>-44.426299999999998</v>
      </c>
      <c r="C44">
        <f t="shared" si="0"/>
        <v>-0.32</v>
      </c>
      <c r="D44">
        <f t="shared" si="1"/>
        <v>5.322947448413387E-5</v>
      </c>
      <c r="J44">
        <v>-0.34</v>
      </c>
      <c r="K44">
        <v>-37.848799999999997</v>
      </c>
      <c r="L44">
        <f t="shared" si="2"/>
        <v>-0.41000000000000003</v>
      </c>
      <c r="M44">
        <f t="shared" si="3"/>
        <v>8.3782954554819159E-5</v>
      </c>
    </row>
    <row r="45" spans="1:13" x14ac:dyDescent="0.25">
      <c r="A45">
        <v>-0.25</v>
      </c>
      <c r="B45">
        <v>-44.79</v>
      </c>
      <c r="C45">
        <f t="shared" si="0"/>
        <v>-0.32</v>
      </c>
      <c r="D45">
        <f t="shared" si="1"/>
        <v>5.2004117651875505E-5</v>
      </c>
      <c r="J45">
        <v>-0.28999999999999998</v>
      </c>
      <c r="K45">
        <v>-38.951300000000003</v>
      </c>
      <c r="L45">
        <f t="shared" si="2"/>
        <v>-0.36</v>
      </c>
      <c r="M45">
        <f t="shared" si="3"/>
        <v>7.7289898425550953E-5</v>
      </c>
    </row>
    <row r="46" spans="1:13" x14ac:dyDescent="0.25">
      <c r="A46">
        <v>-0.24</v>
      </c>
      <c r="B46">
        <v>-45.015000000000001</v>
      </c>
      <c r="C46">
        <f t="shared" si="0"/>
        <v>-0.31</v>
      </c>
      <c r="D46">
        <f t="shared" si="1"/>
        <v>5.1264610101863807E-5</v>
      </c>
      <c r="J46">
        <v>-0.26</v>
      </c>
      <c r="K46">
        <v>-40.046300000000002</v>
      </c>
      <c r="L46">
        <f t="shared" si="2"/>
        <v>-0.33</v>
      </c>
      <c r="M46">
        <f t="shared" si="3"/>
        <v>7.1478893439401206E-5</v>
      </c>
    </row>
    <row r="47" spans="1:13" x14ac:dyDescent="0.25">
      <c r="A47">
        <v>-0.24</v>
      </c>
      <c r="B47">
        <v>-45.48</v>
      </c>
      <c r="C47">
        <f t="shared" si="0"/>
        <v>-0.31</v>
      </c>
      <c r="D47">
        <f t="shared" si="1"/>
        <v>4.9779625392724761E-5</v>
      </c>
      <c r="J47">
        <v>-0.24</v>
      </c>
      <c r="K47">
        <v>-41.081299999999999</v>
      </c>
      <c r="L47">
        <f t="shared" si="2"/>
        <v>-0.31</v>
      </c>
      <c r="M47">
        <f t="shared" si="3"/>
        <v>6.6502451810801846E-5</v>
      </c>
    </row>
    <row r="48" spans="1:13" x14ac:dyDescent="0.25">
      <c r="A48">
        <v>-0.24</v>
      </c>
      <c r="B48">
        <v>-45.54</v>
      </c>
      <c r="C48">
        <f t="shared" si="0"/>
        <v>-0.31</v>
      </c>
      <c r="D48">
        <f t="shared" si="1"/>
        <v>4.9592160423853139E-5</v>
      </c>
      <c r="J48">
        <v>-0.2</v>
      </c>
      <c r="K48">
        <v>-42.172499999999999</v>
      </c>
      <c r="L48">
        <f t="shared" si="2"/>
        <v>-0.27</v>
      </c>
      <c r="M48">
        <f t="shared" si="3"/>
        <v>6.1737097044333217E-5</v>
      </c>
    </row>
    <row r="49" spans="1:13" x14ac:dyDescent="0.25">
      <c r="A49">
        <v>-0.24</v>
      </c>
      <c r="B49">
        <v>-45.626199999999997</v>
      </c>
      <c r="C49">
        <f t="shared" si="0"/>
        <v>-0.31</v>
      </c>
      <c r="D49">
        <f t="shared" si="1"/>
        <v>4.9324460092132271E-5</v>
      </c>
      <c r="J49">
        <v>-0.18</v>
      </c>
      <c r="K49">
        <v>-43.305</v>
      </c>
      <c r="L49">
        <f t="shared" si="2"/>
        <v>-0.25</v>
      </c>
      <c r="M49">
        <f t="shared" si="3"/>
        <v>5.725490070082392E-5</v>
      </c>
    </row>
    <row r="50" spans="1:13" x14ac:dyDescent="0.25">
      <c r="J50">
        <v>-0.16</v>
      </c>
      <c r="K50">
        <v>-43.901299999999999</v>
      </c>
      <c r="L50">
        <f t="shared" si="2"/>
        <v>-0.23</v>
      </c>
      <c r="M50">
        <f t="shared" si="3"/>
        <v>5.5066194799557376E-5</v>
      </c>
    </row>
    <row r="51" spans="1:13" x14ac:dyDescent="0.25">
      <c r="J51">
        <v>-0.15</v>
      </c>
      <c r="K51">
        <v>-44.354999999999997</v>
      </c>
      <c r="L51">
        <f t="shared" si="2"/>
        <v>-0.22</v>
      </c>
      <c r="M51">
        <f t="shared" si="3"/>
        <v>5.3474138015427208E-5</v>
      </c>
    </row>
    <row r="52" spans="1:13" x14ac:dyDescent="0.25">
      <c r="J52">
        <v>-0.15</v>
      </c>
      <c r="K52">
        <v>-44.97</v>
      </c>
      <c r="L52">
        <f t="shared" si="2"/>
        <v>-0.22</v>
      </c>
      <c r="M52">
        <f t="shared" si="3"/>
        <v>5.1411398467914405E-5</v>
      </c>
    </row>
    <row r="53" spans="1:13" x14ac:dyDescent="0.25">
      <c r="J53">
        <v>-0.13</v>
      </c>
      <c r="K53">
        <v>-45.626300000000001</v>
      </c>
      <c r="L53">
        <f t="shared" si="2"/>
        <v>-0.2</v>
      </c>
      <c r="M53">
        <f t="shared" si="3"/>
        <v>4.9324150641702411E-5</v>
      </c>
    </row>
    <row r="54" spans="1:13" x14ac:dyDescent="0.25">
      <c r="J54">
        <v>-0.12</v>
      </c>
      <c r="K54">
        <v>-46.436300000000003</v>
      </c>
      <c r="L54">
        <f t="shared" si="2"/>
        <v>-0.19</v>
      </c>
      <c r="M54">
        <f t="shared" si="3"/>
        <v>4.6899254615667274E-5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Victormonicabobina1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EXFQ_1</dc:creator>
  <cp:lastModifiedBy>EXFQ_1</cp:lastModifiedBy>
  <dcterms:created xsi:type="dcterms:W3CDTF">2020-04-14T10:28:49Z</dcterms:created>
  <dcterms:modified xsi:type="dcterms:W3CDTF">2020-04-14T10:29:21Z</dcterms:modified>
</cp:coreProperties>
</file>